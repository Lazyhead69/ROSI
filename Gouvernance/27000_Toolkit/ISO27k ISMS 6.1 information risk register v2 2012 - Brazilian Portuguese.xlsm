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mc:AlternateContent xmlns:mc="http://schemas.openxmlformats.org/markup-compatibility/2006">
    <mc:Choice Requires="x15">
      <x15ac:absPath xmlns:x15ac="http://schemas.microsoft.com/office/spreadsheetml/2010/11/ac" url="D:\Users\Gary\ISO27001security dotcom\ISO27k toolkit\"/>
    </mc:Choice>
  </mc:AlternateContent>
  <xr:revisionPtr revIDLastSave="0" documentId="13_ncr:1_{E789EF8E-0651-4D34-A939-4EA453689F43}" xr6:coauthVersionLast="47" xr6:coauthVersionMax="47" xr10:uidLastSave="{00000000-0000-0000-0000-000000000000}"/>
  <bookViews>
    <workbookView xWindow="-28920" yWindow="-120" windowWidth="29040" windowHeight="16440" xr2:uid="{00000000-000D-0000-FFFF-FFFF00000000}"/>
  </bookViews>
  <sheets>
    <sheet name="Introdução" sheetId="7" r:id="rId1"/>
    <sheet name="Registro de riscos" sheetId="8" r:id="rId2"/>
    <sheet name="Exemplo prático" sheetId="1" r:id="rId3"/>
    <sheet name="Orientações de uso" sheetId="6" r:id="rId4"/>
    <sheet name="Orientações para classificação" sheetId="5" r:id="rId5"/>
  </sheets>
  <definedNames>
    <definedName name="_xlnm._FilterDatabase" localSheetId="2" hidden="1">'Exemplo prático'!#REF!</definedName>
    <definedName name="_xlnm._FilterDatabase" localSheetId="3" hidden="1">'Orientações de uso'!$O$3:$O$21</definedName>
    <definedName name="_xlnm._FilterDatabase" localSheetId="4" hidden="1">'Orientações para classificação'!$N$2:$N$10</definedName>
    <definedName name="_xlnm.Print_Area" localSheetId="2">'Exemplo prático'!$B$1:$Q$2</definedName>
    <definedName name="_xlnm.Print_Area" localSheetId="3">'Orientações de uso'!#REF!</definedName>
    <definedName name="_xlnm.Print_Area" localSheetId="4">'Orientações para classificação'!$A$2:$I$10</definedName>
    <definedName name="_xlnm.Print_Titles" localSheetId="2">'Exemplo prático'!$1:$2</definedName>
    <definedName name="_xlnm.Print_Titles" localSheetId="3">'Orientações de uso'!#REF!</definedName>
    <definedName name="_xlnm.Print_Titles" localSheetId="4">'Orientações para classificação'!$2:$4</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4" i="8" l="1"/>
  <c r="L4" i="8"/>
  <c r="M3" i="8"/>
  <c r="L3" i="8"/>
  <c r="M5" i="8"/>
  <c r="M6" i="8"/>
  <c r="M7" i="8"/>
  <c r="M8" i="8"/>
  <c r="M9" i="8"/>
  <c r="M10" i="8"/>
  <c r="M11" i="8"/>
  <c r="M12" i="8"/>
  <c r="M13" i="8"/>
  <c r="M14" i="8"/>
  <c r="M15" i="8"/>
  <c r="M16" i="8"/>
  <c r="M17" i="8"/>
  <c r="M18" i="8"/>
  <c r="M19" i="8"/>
  <c r="M20" i="8"/>
  <c r="M21" i="8"/>
  <c r="M22" i="8"/>
  <c r="M23" i="8"/>
  <c r="M24" i="8"/>
  <c r="M25" i="8"/>
  <c r="L5" i="8"/>
  <c r="L6" i="8"/>
  <c r="L7" i="8"/>
  <c r="L8" i="8"/>
  <c r="L9" i="8"/>
  <c r="L10" i="8"/>
  <c r="L11" i="8"/>
  <c r="L12" i="8"/>
  <c r="L13" i="8"/>
  <c r="L14" i="8"/>
  <c r="L15" i="8"/>
  <c r="L16" i="8"/>
  <c r="L17" i="8"/>
  <c r="N17" i="8"/>
  <c r="L18" i="8"/>
  <c r="L19" i="8"/>
  <c r="L20" i="8"/>
  <c r="L21" i="8"/>
  <c r="N21" i="8"/>
  <c r="L22" i="8"/>
  <c r="L23" i="8"/>
  <c r="N23" i="8"/>
  <c r="L24" i="8"/>
  <c r="N24" i="8"/>
  <c r="L25" i="8"/>
  <c r="N25" i="8"/>
  <c r="H25" i="8"/>
  <c r="H24" i="8"/>
  <c r="H23" i="8"/>
  <c r="N22" i="8"/>
  <c r="H22" i="8"/>
  <c r="H21" i="8"/>
  <c r="H20" i="8"/>
  <c r="N19" i="8"/>
  <c r="H19" i="8"/>
  <c r="H18" i="8"/>
  <c r="H17" i="8"/>
  <c r="H16" i="8"/>
  <c r="N15" i="8"/>
  <c r="H15" i="8"/>
  <c r="H14" i="8"/>
  <c r="N13" i="8"/>
  <c r="H13" i="8"/>
  <c r="H12" i="8"/>
  <c r="N11" i="8"/>
  <c r="H11" i="8"/>
  <c r="H10" i="8"/>
  <c r="N9" i="8"/>
  <c r="H9" i="8"/>
  <c r="H8" i="8"/>
  <c r="N7" i="8"/>
  <c r="H7" i="8"/>
  <c r="H6" i="8"/>
  <c r="N5" i="8"/>
  <c r="H5" i="8"/>
  <c r="H4" i="8"/>
  <c r="H3" i="8"/>
  <c r="M6" i="1"/>
  <c r="N6" i="1"/>
  <c r="H3" i="1"/>
  <c r="H6" i="1"/>
  <c r="O6" i="1"/>
  <c r="H5" i="1"/>
  <c r="H8" i="1"/>
  <c r="L9" i="1"/>
  <c r="N9" i="1"/>
  <c r="L7" i="1"/>
  <c r="M4" i="1"/>
  <c r="F5" i="5"/>
  <c r="G5" i="5"/>
  <c r="H5" i="5"/>
  <c r="I5" i="5"/>
  <c r="F6" i="5"/>
  <c r="G6" i="5"/>
  <c r="H6" i="5"/>
  <c r="I6" i="5"/>
  <c r="F7" i="5"/>
  <c r="G7" i="5"/>
  <c r="H7" i="5"/>
  <c r="I7" i="5"/>
  <c r="F8" i="5"/>
  <c r="G8" i="5"/>
  <c r="H8" i="5"/>
  <c r="I8" i="5"/>
  <c r="F9" i="5"/>
  <c r="G9" i="5"/>
  <c r="H9" i="5"/>
  <c r="I9" i="5"/>
  <c r="E9" i="5"/>
  <c r="E8" i="5"/>
  <c r="E7" i="5"/>
  <c r="E6" i="5"/>
  <c r="E5" i="5"/>
  <c r="H11" i="1"/>
  <c r="H4" i="1"/>
  <c r="H7" i="1"/>
  <c r="H9" i="1"/>
  <c r="H10" i="1"/>
  <c r="O5" i="8"/>
  <c r="O7" i="8"/>
  <c r="N10" i="8"/>
  <c r="N8" i="8"/>
  <c r="N6" i="8"/>
  <c r="O6" i="8"/>
  <c r="N3" i="8"/>
  <c r="N4" i="8"/>
  <c r="O22" i="8"/>
  <c r="O24" i="8"/>
  <c r="O3" i="8"/>
  <c r="O4" i="8"/>
  <c r="O8" i="8"/>
  <c r="O10" i="8"/>
  <c r="O11" i="8"/>
  <c r="O9" i="8"/>
  <c r="N12" i="8"/>
  <c r="O12" i="8"/>
  <c r="N14" i="8"/>
  <c r="O14" i="8"/>
  <c r="N16" i="8"/>
  <c r="O16" i="8"/>
  <c r="N18" i="8"/>
  <c r="O18" i="8"/>
  <c r="N20" i="8"/>
  <c r="O20" i="8"/>
  <c r="O13" i="8"/>
  <c r="O15" i="8"/>
  <c r="O17" i="8"/>
  <c r="O19" i="8"/>
  <c r="O21" i="8"/>
  <c r="O23" i="8"/>
  <c r="O25" i="8"/>
  <c r="O9" i="1"/>
  <c r="N3" i="1"/>
  <c r="O3" i="1"/>
  <c r="N5" i="1"/>
  <c r="O5" i="1"/>
  <c r="N8" i="1"/>
  <c r="O8" i="1"/>
  <c r="N11" i="1"/>
  <c r="O11" i="1"/>
  <c r="N4" i="1"/>
  <c r="O4" i="1"/>
  <c r="N7" i="1"/>
  <c r="O7" i="1"/>
  <c r="N10" i="1"/>
  <c r="O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Gary Hinson</author>
  </authors>
  <commentList>
    <comment ref="B2" authorId="0" shapeId="0" xr:uid="{00000000-0006-0000-0100-000001000000}">
      <text>
        <r>
          <rPr>
            <b/>
            <sz val="8"/>
            <color indexed="81"/>
            <rFont val="Tahoma"/>
          </rPr>
          <t>Assign a unique identifier for each risk.  Any duplicates will go red.</t>
        </r>
      </text>
    </comment>
    <comment ref="C2" authorId="0" shapeId="0" xr:uid="{00000000-0006-0000-0100-000002000000}">
      <text>
        <r>
          <rPr>
            <b/>
            <sz val="8"/>
            <color indexed="81"/>
            <rFont val="Tahoma"/>
            <family val="2"/>
          </rPr>
          <t>Briefly describe the risk</t>
        </r>
      </text>
    </comment>
    <comment ref="D2" authorId="1" shapeId="0" xr:uid="{00000000-0006-0000-0100-000003000000}">
      <text>
        <r>
          <rPr>
            <b/>
            <sz val="8"/>
            <color indexed="81"/>
            <rFont val="Tahoma"/>
            <family val="2"/>
          </rPr>
          <t>Enter the name of the information asset owner, the person who will be held to account if the asset is adversely impacted by an incident of some sort</t>
        </r>
      </text>
    </comment>
    <comment ref="E2" authorId="0" shapeId="0" xr:uid="{00000000-0006-0000-0100-000004000000}">
      <text>
        <r>
          <rPr>
            <b/>
            <sz val="8"/>
            <color indexed="81"/>
            <rFont val="Tahoma"/>
            <family val="2"/>
          </rPr>
          <t xml:space="preserve">Describe (in business terms) what impact the risk would have on the organization if it occurred. </t>
        </r>
      </text>
    </comment>
    <comment ref="F2" authorId="0" shapeId="0" xr:uid="{00000000-0006-0000-0100-000005000000}">
      <text>
        <r>
          <rPr>
            <b/>
            <sz val="8"/>
            <color indexed="81"/>
            <rFont val="Tahoma"/>
          </rPr>
          <t>What is the probability of this risk occurring, if there were no risk treatments in place?  
Enter a percentage value where 0% = impossible and 100% = certain.</t>
        </r>
      </text>
    </comment>
    <comment ref="G2" authorId="0" shapeId="0" xr:uid="{00000000-0006-0000-0100-000006000000}">
      <text>
        <r>
          <rPr>
            <b/>
            <sz val="8"/>
            <color indexed="81"/>
            <rFont val="Tahoma"/>
          </rPr>
          <t>How serious would it be if this risk occurred, assuming there were no risk treatments in place?   Enter a percentage value where 0% = no impact at all, and 100% = total disaster.</t>
        </r>
      </text>
    </comment>
    <comment ref="H2" authorId="1" shapeId="0" xr:uid="{00000000-0006-0000-0100-000007000000}">
      <text>
        <r>
          <rPr>
            <b/>
            <sz val="8"/>
            <color indexed="81"/>
            <rFont val="Tahoma"/>
            <family val="2"/>
          </rPr>
          <t>The risk ratings and colors are calculated automatically from the product of the raw probabilities and impacts.  DO NOT EDIT
 THIS COLUMN!</t>
        </r>
      </text>
    </comment>
    <comment ref="I2" authorId="0" shapeId="0" xr:uid="{00000000-0006-0000-0100-000008000000}">
      <text>
        <r>
          <rPr>
            <b/>
            <sz val="8"/>
            <color indexed="81"/>
            <rFont val="Tahoma"/>
            <family val="2"/>
          </rPr>
          <t>Describe how the risk is to be treated: remember, it can be controlled, transferred, avoided or accepted.</t>
        </r>
        <r>
          <rPr>
            <sz val="8"/>
            <color indexed="81"/>
            <rFont val="Tahoma"/>
          </rPr>
          <t xml:space="preserve">
</t>
        </r>
      </text>
    </comment>
    <comment ref="J2" authorId="1" shapeId="0" xr:uid="{00000000-0006-0000-0100-000009000000}">
      <text>
        <r>
          <rPr>
            <b/>
            <sz val="8"/>
            <color indexed="81"/>
            <rFont val="Tahoma"/>
            <family val="2"/>
          </rPr>
          <t xml:space="preserve">How much will it cost to implement the treatment?
</t>
        </r>
      </text>
    </comment>
    <comment ref="K2" authorId="0" shapeId="0" xr:uid="{00000000-0006-0000-0100-00000A000000}">
      <text>
        <r>
          <rPr>
            <b/>
            <sz val="8"/>
            <color indexed="81"/>
            <rFont val="Tahoma"/>
            <family val="2"/>
          </rPr>
          <t>100% means the treatment is fully in place and operational.  0% means nothing has been done yet to mitigate the risk.</t>
        </r>
      </text>
    </comment>
    <comment ref="L2" authorId="0" shapeId="0" xr:uid="{00000000-0006-0000-0100-00000B000000}">
      <text>
        <r>
          <rPr>
            <b/>
            <sz val="8"/>
            <color indexed="81"/>
            <rFont val="Tahoma"/>
          </rPr>
          <t>What is the probability of this risk occurring, once the risk is fully treated?  Enter a percentage value where 0% = impossible and 100% = certain.  If the treated values differ from the raw values, they go bold.</t>
        </r>
      </text>
    </comment>
    <comment ref="M2" authorId="0" shapeId="0" xr:uid="{00000000-0006-0000-0100-00000C000000}">
      <text>
        <r>
          <rPr>
            <b/>
            <sz val="8"/>
            <color indexed="81"/>
            <rFont val="Tahoma"/>
          </rPr>
          <t>How serious would it be if this risk occurred, assuming the risk is fully treated?   Enter a percentage value where 0% = no impact at all, and 100% = total disaster.  If the treated values differ from the raw values, they go bold.</t>
        </r>
      </text>
    </comment>
    <comment ref="N2" authorId="1" shapeId="0" xr:uid="{00000000-0006-0000-0100-00000D000000}">
      <text>
        <r>
          <rPr>
            <b/>
            <sz val="8"/>
            <color indexed="81"/>
            <rFont val="Tahoma"/>
            <family val="2"/>
          </rPr>
          <t>The risk ratings and colors are calculated automatically from the product of the raw probabilities and impacts.  DO NOT EDIT
 THIS COLUMN!</t>
        </r>
      </text>
    </comment>
    <comment ref="O2" authorId="2" shapeId="0" xr:uid="{00000000-0006-0000-0100-00000E000000}">
      <text>
        <r>
          <rPr>
            <b/>
            <sz val="9"/>
            <color indexed="81"/>
            <rFont val="Tahoma"/>
            <family val="2"/>
          </rPr>
          <t>The risk ratings and colors are calculated automatically from the product of the raw probabilities and impacts.  DO NOT EDIT
 THIS COLUMN!</t>
        </r>
      </text>
    </comment>
    <comment ref="Q2" authorId="0" shapeId="0" xr:uid="{00000000-0006-0000-0100-00000F000000}">
      <text>
        <r>
          <rPr>
            <b/>
            <sz val="8"/>
            <color indexed="81"/>
            <rFont val="Tahoma"/>
          </rPr>
          <t>When was the risk and/or treatment last reviewed?  Enter a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s>
  <commentList>
    <comment ref="B2" authorId="0" shapeId="0" xr:uid="{00000000-0006-0000-0200-000001000000}">
      <text>
        <r>
          <rPr>
            <b/>
            <sz val="8"/>
            <color indexed="81"/>
            <rFont val="Tahoma"/>
          </rPr>
          <t>Unique identifier.</t>
        </r>
      </text>
    </comment>
    <comment ref="C2" authorId="0" shapeId="0" xr:uid="{00000000-0006-0000-0200-000002000000}">
      <text>
        <r>
          <rPr>
            <b/>
            <sz val="8"/>
            <color indexed="81"/>
            <rFont val="Tahoma"/>
            <family val="2"/>
          </rPr>
          <t>Refer to the 'Risk Guidance' worksheet for examples of risks.</t>
        </r>
        <r>
          <rPr>
            <sz val="8"/>
            <color indexed="81"/>
            <rFont val="Tahoma"/>
          </rPr>
          <t xml:space="preserve">
</t>
        </r>
      </text>
    </comment>
    <comment ref="D2" authorId="1" shapeId="0" xr:uid="{00000000-0006-0000-0200-000003000000}">
      <text>
        <r>
          <rPr>
            <b/>
            <sz val="8"/>
            <color indexed="81"/>
            <rFont val="Tahoma"/>
            <family val="2"/>
          </rPr>
          <t>Enter the name of the business risk owner</t>
        </r>
      </text>
    </comment>
    <comment ref="E2" authorId="0" shapeId="0" xr:uid="{00000000-0006-0000-0200-000004000000}">
      <text>
        <r>
          <rPr>
            <b/>
            <sz val="8"/>
            <color indexed="81"/>
            <rFont val="Tahoma"/>
            <family val="2"/>
          </rPr>
          <t>Describe what impact the risk would have on the organization if it occurred.  Try to use business terms.</t>
        </r>
      </text>
    </comment>
    <comment ref="F2" authorId="0" shapeId="0" xr:uid="{00000000-0006-0000-0200-000005000000}">
      <text>
        <r>
          <rPr>
            <b/>
            <sz val="8"/>
            <color indexed="81"/>
            <rFont val="Tahoma"/>
          </rPr>
          <t>Probability value 1-5, where:-
5 = Almost Certain      2 = Unlikely
4 = Likely                       1 = Rare
3 = Moderate</t>
        </r>
      </text>
    </comment>
    <comment ref="G2" authorId="0" shapeId="0" xr:uid="{00000000-0006-0000-0200-000006000000}">
      <text>
        <r>
          <rPr>
            <b/>
            <sz val="8"/>
            <color indexed="81"/>
            <rFont val="Tahoma"/>
          </rPr>
          <t>Impact value 1-5, where:
5) Extreme        2 = Minor 
4) Major             1 = Insignificant
3) Moderate</t>
        </r>
      </text>
    </comment>
    <comment ref="H2" authorId="1" shapeId="0" xr:uid="{00000000-0006-0000-0200-000007000000}">
      <text>
        <r>
          <rPr>
            <b/>
            <sz val="8"/>
            <color indexed="81"/>
            <rFont val="Tahoma"/>
            <family val="2"/>
          </rPr>
          <t>A Red, Amber, or Green traffic light signal will be calculated automatically from the values entered against Probability and Impact.</t>
        </r>
      </text>
    </comment>
    <comment ref="I2" authorId="0" shapeId="0" xr:uid="{00000000-0006-0000-0200-000008000000}">
      <text>
        <r>
          <rPr>
            <b/>
            <sz val="8"/>
            <color indexed="81"/>
            <rFont val="Tahoma"/>
            <family val="2"/>
          </rPr>
          <t>Refer to the 'Risk Guidance' worksheet for examples of mitigations.</t>
        </r>
        <r>
          <rPr>
            <sz val="8"/>
            <color indexed="81"/>
            <rFont val="Tahoma"/>
          </rPr>
          <t xml:space="preserve">
</t>
        </r>
      </text>
    </comment>
    <comment ref="J2" authorId="1" shapeId="0" xr:uid="{00000000-0006-0000-0200-000009000000}">
      <text>
        <r>
          <rPr>
            <b/>
            <sz val="8"/>
            <color indexed="81"/>
            <rFont val="Tahoma"/>
            <family val="2"/>
          </rPr>
          <t>Record the total cost of mitigation.</t>
        </r>
      </text>
    </comment>
    <comment ref="K2" authorId="0" shapeId="0" xr:uid="{00000000-0006-0000-0200-00000A000000}">
      <text>
        <r>
          <rPr>
            <b/>
            <sz val="8"/>
            <color indexed="81"/>
            <rFont val="Tahoma"/>
            <family val="2"/>
          </rPr>
          <t>Indicate the completion status of the mitigation as a percentage</t>
        </r>
        <r>
          <rPr>
            <sz val="8"/>
            <color indexed="81"/>
            <rFont val="Tahoma"/>
          </rPr>
          <t xml:space="preserve">
</t>
        </r>
      </text>
    </comment>
    <comment ref="L2" authorId="0" shapeId="0" xr:uid="{00000000-0006-0000-0200-00000B000000}">
      <text>
        <r>
          <rPr>
            <b/>
            <sz val="8"/>
            <color indexed="81"/>
            <rFont val="Tahoma"/>
          </rPr>
          <t>Probability value 1-5, where:-
5 = Almost Certain      2 = Unlikely
4 = Likely                       1 = Rare
3 = Moderate</t>
        </r>
      </text>
    </comment>
    <comment ref="M2" authorId="0" shapeId="0" xr:uid="{00000000-0006-0000-0200-00000C000000}">
      <text>
        <r>
          <rPr>
            <b/>
            <sz val="8"/>
            <color indexed="81"/>
            <rFont val="Tahoma"/>
          </rPr>
          <t>Impact value 1-5, where:
5) Extreme        2 = Minor 
4) Major             1 = Insignificant
3) Moderate</t>
        </r>
      </text>
    </comment>
    <comment ref="N2" authorId="1" shapeId="0" xr:uid="{00000000-0006-0000-0200-00000D000000}">
      <text>
        <r>
          <rPr>
            <b/>
            <sz val="8"/>
            <color indexed="81"/>
            <rFont val="Tahoma"/>
            <family val="2"/>
          </rPr>
          <t>A Red, Amber, or Green traffic light signal will be calculated automatically from the values entered against Probability and Impact.</t>
        </r>
      </text>
    </comment>
    <comment ref="Q2" authorId="0" shapeId="0" xr:uid="{00000000-0006-0000-0200-00000E000000}">
      <text>
        <r>
          <rPr>
            <b/>
            <sz val="8"/>
            <color indexed="81"/>
            <rFont val="Tahoma"/>
          </rPr>
          <t>Date risk and/or mitigation last reviewed.</t>
        </r>
      </text>
    </comment>
  </commentList>
</comments>
</file>

<file path=xl/sharedStrings.xml><?xml version="1.0" encoding="utf-8"?>
<sst xmlns="http://schemas.openxmlformats.org/spreadsheetml/2006/main" count="158" uniqueCount="127">
  <si>
    <t>ID</t>
  </si>
  <si>
    <t>To show your appreciation for this and other materials generously donated to the ISO27k Toolkit by other ISO27k users, please participate in the ISO27k Forum, comment on this template, and/or donate your own templates and example documents to continue expanding the ISO27k Toolkit.  The toolkit is the product of a non-commercial community self-help project: the more we put in, the more we get out.  Thank you for your support.</t>
  </si>
  <si>
    <t>12/1</t>
  </si>
  <si>
    <t>GH</t>
  </si>
  <si>
    <t>12/5</t>
  </si>
  <si>
    <t>12/2</t>
  </si>
  <si>
    <t>12/3</t>
  </si>
  <si>
    <t>12/4</t>
  </si>
  <si>
    <t>12/6</t>
  </si>
  <si>
    <t>12/8</t>
  </si>
  <si>
    <t>Spam</t>
  </si>
  <si>
    <t>12/9</t>
  </si>
  <si>
    <t>Malware</t>
  </si>
  <si>
    <t>12/10</t>
  </si>
  <si>
    <t>Template para Registro de Riscos v2</t>
  </si>
  <si>
    <t>Coluna</t>
  </si>
  <si>
    <t>Notas</t>
  </si>
  <si>
    <t>Este "registro de riscos" é uma forma estruturada para registrar e analisar suas informações sobre riscos de segurança.  É apenas um template ou ponto de partida.  Pode não ser adequado para sua organização, mas sinta-se à vontade para customizá-lo para atender às suas necessidades específicas</t>
  </si>
  <si>
    <t>Risco</t>
  </si>
  <si>
    <t>Impacto</t>
  </si>
  <si>
    <t>Probabilidade inerente</t>
  </si>
  <si>
    <t xml:space="preserve">    Probabilidade inerente</t>
  </si>
  <si>
    <t xml:space="preserve">    Impacto inerente</t>
  </si>
  <si>
    <t>Tratamento</t>
  </si>
  <si>
    <t xml:space="preserve">    Custo do tratamento</t>
  </si>
  <si>
    <t xml:space="preserve">    Status do tratamento</t>
  </si>
  <si>
    <t xml:space="preserve">    Propabilidade residual</t>
  </si>
  <si>
    <t xml:space="preserve">    Impacto residual</t>
  </si>
  <si>
    <t>Probabilidade</t>
  </si>
  <si>
    <t>Impacto nos negócios</t>
  </si>
  <si>
    <t>Extremo</t>
  </si>
  <si>
    <t>Insignificante</t>
  </si>
  <si>
    <t>Alto</t>
  </si>
  <si>
    <t>Médio</t>
  </si>
  <si>
    <t>Baixo</t>
  </si>
  <si>
    <t xml:space="preserve">   ID
</t>
  </si>
  <si>
    <t>Clique aqui para orientações sobre como usar o registro de riscos,</t>
  </si>
  <si>
    <t>clique aqui para um exemplo prático, e</t>
  </si>
  <si>
    <t xml:space="preserve"> ID
</t>
  </si>
  <si>
    <t xml:space="preserve">      Proprietário do Ativo</t>
  </si>
  <si>
    <t xml:space="preserve">    Proprietário do Ativo</t>
  </si>
  <si>
    <t xml:space="preserve">   Impacto inerente</t>
  </si>
  <si>
    <t xml:space="preserve">    Nível de risco inerente</t>
  </si>
  <si>
    <t xml:space="preserve">    Nível de risco atual</t>
  </si>
  <si>
    <t xml:space="preserve">    Nível de risco almejado</t>
  </si>
  <si>
    <t xml:space="preserve">Última atualização
</t>
  </si>
  <si>
    <t xml:space="preserve">    Probabilidade residual</t>
  </si>
  <si>
    <t xml:space="preserve">   Impacto residual</t>
  </si>
  <si>
    <t>EXEMPLO PRÁTICO!  Estas informações são inteiramente fictícias.</t>
  </si>
  <si>
    <t>Incidente interno</t>
  </si>
  <si>
    <t>Um usuário interno explora seus acessos para roubar, modificar ou excluir informações</t>
  </si>
  <si>
    <t>Supervisão, regras de acesso, alarmes e alertas</t>
  </si>
  <si>
    <t>Aquecimento global</t>
  </si>
  <si>
    <t>Eventos climáticos extremos</t>
  </si>
  <si>
    <t>Impostos sobre emissões</t>
  </si>
  <si>
    <t>Roube de identidade, extração/roubo de informação confidencial, alteração de dados, interrupção de serviços de TIC</t>
  </si>
  <si>
    <t>Antivirus, conscientização de segurança, backups</t>
  </si>
  <si>
    <t>(Quase) Certeza</t>
  </si>
  <si>
    <t>Provável</t>
  </si>
  <si>
    <t>Possível</t>
  </si>
  <si>
    <t>Improvável</t>
  </si>
  <si>
    <t>Raro</t>
  </si>
  <si>
    <t>Falha organizacional completa, perda total, impossível sobreviver</t>
  </si>
  <si>
    <t>Grave perda de capacidade operacional, altamente danoso e extremamente custoso, mas sobrevivência possível</t>
  </si>
  <si>
    <t>Impacto operacional perceptível mas limitado, custoso</t>
  </si>
  <si>
    <t>Impacto operacional substancial, muito custoso</t>
  </si>
  <si>
    <t>Impacto operacional mínimo ou inexistente, custos irrelevantes</t>
  </si>
  <si>
    <t>Provavelmente sofreremos incidentes desta natureza em um futuro próximo</t>
  </si>
  <si>
    <t>Há certeza de sofrer incidentes desta natureza - na verdade, provavelmente estão ocorrendo agora!</t>
  </si>
  <si>
    <t>É possível sofrer incidentes desta natureza no futuro</t>
  </si>
  <si>
    <t>Incidentes desta natureza são incomuns, mas há probabilidade genuína de os sofrermos em algum momento</t>
  </si>
  <si>
    <r>
      <t xml:space="preserve">Nota: as cores são geradas automaticamente por meio da formatação condicional do Excel.
Os valores atribuídos a cada categoria são </t>
    </r>
    <r>
      <rPr>
        <i/>
        <sz val="11"/>
        <rFont val="Arial"/>
        <family val="2"/>
      </rPr>
      <t>arbitrários</t>
    </r>
    <r>
      <rPr>
        <sz val="11"/>
        <rFont val="Arial"/>
        <family val="2"/>
      </rPr>
      <t>, então não se fixe neles; concentre-se na necessidade de mitigar aqueles inaceiáveis riscos vermelhos!</t>
    </r>
  </si>
  <si>
    <t>Ainda que sejam concebíveis, provavelmente jamais sofreremos incidentes desta natureza</t>
  </si>
  <si>
    <t>Proprietário do ativo</t>
  </si>
  <si>
    <t>Impacto inerente</t>
  </si>
  <si>
    <t>Nível de risco inerente</t>
  </si>
  <si>
    <t>Tratamento do risco</t>
  </si>
  <si>
    <t>Custo do tratamento</t>
  </si>
  <si>
    <t>Risco residual</t>
  </si>
  <si>
    <t>Impacto residual</t>
  </si>
  <si>
    <t>Nível de risco almejado</t>
  </si>
  <si>
    <t>Nível de risco atual</t>
  </si>
  <si>
    <t>Última atualização</t>
  </si>
  <si>
    <t>Terremotos, tsunamis, erupções</t>
  </si>
  <si>
    <t>Novas obrigações de privacidade e segurança da informação impostas por lei ou regulação</t>
  </si>
  <si>
    <t>Penalidades por não-conformidade</t>
  </si>
  <si>
    <t>Atenção a novas obrigações de conformidade</t>
  </si>
  <si>
    <t>Devastação da área imediatamente próxima, dano ambiental</t>
  </si>
  <si>
    <t>Previsões de continuidade de negócios</t>
  </si>
  <si>
    <t>Desperdício de recursos, sobrecarga, distração</t>
  </si>
  <si>
    <t>Filtro de Spam, conscientização de segurança</t>
  </si>
  <si>
    <t>clique aqui para orientações sobre como classificar as probabilidades, impactos e riscos</t>
  </si>
  <si>
    <t>Meteoro pequeno atingindo a Terra</t>
  </si>
  <si>
    <t>Devastação da área imediatamente próxima</t>
  </si>
  <si>
    <t>Compartilhar um sistema de mísseis balísticos intercontinentais</t>
  </si>
  <si>
    <t>Meteoro grande atingindo a Terra</t>
  </si>
  <si>
    <t>Devastação da área imediatamente próxima, dano ambiental grave</t>
  </si>
  <si>
    <t>Compartilhar um sistema de mísseis balísticos interplanteários</t>
  </si>
  <si>
    <t>Supernova destrói o Sol</t>
  </si>
  <si>
    <t>Aniquilação total</t>
  </si>
  <si>
    <t>Aceitar o risco: provavelmente não vale a pena sobreviver</t>
  </si>
  <si>
    <t>Descreva brevemente o risco de segurança da informação, de modo que os usuários da tabela compreendam qual risco está sendo avaliado</t>
  </si>
  <si>
    <r>
      <t xml:space="preserve">Quem é o </t>
    </r>
    <r>
      <rPr>
        <b/>
        <sz val="11"/>
        <rFont val="Arial"/>
        <family val="2"/>
      </rPr>
      <t>Proprietário do Ativo</t>
    </r>
    <r>
      <rPr>
        <sz val="11"/>
        <rFont val="Arial"/>
        <family val="2"/>
      </rPr>
      <t>, a pessoa que será responsabilizada caso o tratamento do risco seja inadequado, incidentes ocorram e a organização seja negativamente impactada?  É de interesse dessa pessoa avaliar e tratar os riscos adequadamente, ou assumir as consequências</t>
    </r>
  </si>
  <si>
    <t>Insira a probabilidade de o risco ocorrer caso não receba nenhum tratamento, em um valor percentual</t>
  </si>
  <si>
    <t>Insira o potencial impacto aos negócios caso o risco não receba nenhum tratamento, em um valor percentual</t>
  </si>
  <si>
    <t>Este é a multiplicação entre o nível de probabilidade inerente e de impacto inerente, ou seja, o nível inerente de risco</t>
  </si>
  <si>
    <t>Descreva como o risco será tratado. Note que "mitigar" é apenas uma opção: riscos podem ser evitados, transferidos, compartilhados ou assumidos</t>
  </si>
  <si>
    <t>Estime o custo total para mitigar o risco.</t>
  </si>
  <si>
    <r>
      <t>O quanto foi realizado do planejamento de tratamento de riscos?  0% significa que o tratamento é apenas um plano no momento - nada foi feito ainda.  100% significa que o tratamento está completamente operacional</t>
    </r>
    <r>
      <rPr>
        <i/>
        <sz val="11"/>
        <rFont val="Arial"/>
        <family val="2"/>
      </rPr>
      <t>.</t>
    </r>
  </si>
  <si>
    <t>Insira a probabilidade de o risco ocorrer após os controles estarem integralmente aplicados, da mesma forma que antes de mitigá-los. Riscos residuais são mostrados em negrito caso sejam diferentes dos níveis inerentes.</t>
  </si>
  <si>
    <t>Este é o produto da probabilidade e do impacto previstos caso o tratamento do risco esteja integralmente implementado.</t>
  </si>
  <si>
    <t>Insira o impacto provável após a implementação integral dos controles, da mesma forma que antes de mitigar os riscos. Perceba que o impacto da ocorrência pode AUMENTAR com controles rigorosos implementados, uma vez que incidentes em função de falhas nos controles não costumam ser esperados. O nível do impacto residual será mostrado em negrito se for diferente dos níveis de impacto inerente.</t>
  </si>
  <si>
    <t>Mantenha registros sobre os riscos, p.ex, fatores levados em consideração para identificação e o raciocínio utilizado, incluíndo suposições relevantes tomadas durante o processo.</t>
  </si>
  <si>
    <t>Generosamente fornecido ao ISO27k Toolkit em Outubro de 2007 por Madhukar</t>
  </si>
  <si>
    <t>Extensivamente modificado em Setembro de 2012 por Gary Hinson, com exemplos práticos, percentuais, formatação condicional e notas</t>
  </si>
  <si>
    <t>Nota: você pode filtrar qualquer coluna clicando no triângulo no cabeçalho da coluna. Uma seta indica qual coluna foi usada por último</t>
  </si>
  <si>
    <t>Confirme que a formatação condicional está colorindo corretamente os níveis de risco: deve ser definido como uma "escala de cores" utilizando 3 cores (verde, laranja e vermelho) correspondendo aos valores de 0%, 50% e 100%</t>
  </si>
  <si>
    <t>Atribua uma única referência, a fim de ser capaz de identificar cada risco de maneira inequívoca (p.ex "12/27" pode ser o 27º risco de segurança da informação introduzido na análise durante o ano de 2022). Números sequenciais permitem uma seleção mais precisa na tabela</t>
  </si>
  <si>
    <t>Descreva os potenciais impactos caso o risco se materialize, preferencialmente em termos do negócio. Decida se usará "o pior cenário" ou impactos "antecipados", e seja consistente quanto a isso. Essa consistência é fundamental à medida que a matriz de risco cresce e mais pessoas são envolvidas no processo</t>
  </si>
  <si>
    <r>
      <t xml:space="preserve">A avaliação de riscos é baseada na fórmula:  </t>
    </r>
    <r>
      <rPr>
        <b/>
        <sz val="11"/>
        <rFont val="Arial"/>
        <family val="2"/>
      </rPr>
      <t>Risco = Probabilidade x Impacto</t>
    </r>
    <r>
      <rPr>
        <sz val="11"/>
        <rFont val="Arial"/>
        <family val="2"/>
      </rPr>
      <t>,</t>
    </r>
    <r>
      <rPr>
        <b/>
        <sz val="11"/>
        <rFont val="Arial"/>
        <family val="2"/>
      </rPr>
      <t xml:space="preserve">  </t>
    </r>
    <r>
      <rPr>
        <sz val="11"/>
        <rFont val="Arial"/>
        <family val="2"/>
      </rPr>
      <t xml:space="preserve">em que probabilidade e impacto são representados por valores percentuais. Matemáticos podem, legitimamente, se opor ao uso de números dessa maneira, mas esta abordagem simplificada auxilia na hierarquização e priorização de riscos, permitindo à Alta Direção focar nos riscos mais relevantes.  </t>
    </r>
    <r>
      <rPr>
        <i/>
        <sz val="11"/>
        <rFont val="Arial"/>
        <family val="2"/>
      </rPr>
      <t>Ainda que não seja a abordagem perfeita, a experiência demonstra que é adequada o suficiente para a maioria dos propósitos.</t>
    </r>
  </si>
  <si>
    <r>
      <t xml:space="preserve">Talvez você prefira a fórmula alternativa: </t>
    </r>
    <r>
      <rPr>
        <b/>
        <sz val="11"/>
        <rFont val="Arial"/>
        <family val="2"/>
      </rPr>
      <t>Risco = Ameaça x Vulnerabilidade x Impacto</t>
    </r>
    <r>
      <rPr>
        <sz val="11"/>
        <rFont val="Arial"/>
        <family val="2"/>
      </rPr>
      <t xml:space="preserve"> ou alguma variação. Se possuir dados históricos suficientes, você poderá atribuir com maior precisão valores quantitativos aos incidentes de segurança da informação que ocorram com frequência (p.ex. inserção incorreta de dados, malware, spam... ).  Boa sorte! Como bonus, conduza uma análise criteriosa utilizando fórmulas diferentes, dados e presunções, investigando quaisquer diferenças significativas entre os resultados derivados de abordagens adicionais. Mas cuidado com a "paralisia analíitica". Não esqueça que a avaliação de riscos de segurança da informação é uma </t>
    </r>
    <r>
      <rPr>
        <i/>
        <sz val="11"/>
        <rFont val="Arial"/>
        <family val="2"/>
      </rPr>
      <t>ferramenta de apoio às decisões da Alta Direção a respeito do SGSI</t>
    </r>
    <r>
      <rPr>
        <sz val="11"/>
        <rFont val="Arial"/>
        <family val="2"/>
      </rPr>
      <t>, não um estudo científico.  Não aplique todos os seus recursos na análise dos riscos, esquecendo de tratá-los!</t>
    </r>
  </si>
  <si>
    <t>Este é o risco atual, considerando o status da implementação dos controles e a probabilidade e o impacto previstos quando os controles estiverem implementados. Por exemplo, se o risco inerente é 50% e o risco residual é 30% mas o controle está apenas 50% implementado, o nível de risco atual será de 40%. Na realidade, muitos controles de segurança ou são integralmente implementados e integralmente efetivos, ou são parcialmente implementados e totalmente inefetivos - mas o cálculo de risco leva em consideração o fato de que o trabalho está sendo desenvolvimento, portanto a Alta Direção pode presumir que o risco será tratado devidamente.</t>
  </si>
  <si>
    <t>Registre a data na qual os riscos foram revisados pela última vez, atualizados e/ou aprovados pela Alta Direção. Filtre esta coluna para localizar riscos não revisados há muito tempo e que, portanto, devam ser revisados ou reconfirmados.</t>
  </si>
  <si>
    <t>O "Exemplo Prático" traz algumas amostras de risco para apresentar como a avaliação funciona. Todos os dados são fictícios!</t>
  </si>
  <si>
    <t>Traduzido para o português em 2022 por Sergio Beggiato</t>
  </si>
  <si>
    <t>Status do tratamento</t>
  </si>
  <si>
    <r>
      <t xml:space="preserve">This work is copyright © 2023, ISO27k Forum, some rights reserved.  It is licensed under the Creative Commons Attribution-Noncommercial-Share Alike 3.0 License.  You are welcome to reproduce, circulate, use and create derivative works from this </t>
    </r>
    <r>
      <rPr>
        <i/>
        <sz val="11"/>
        <rFont val="Arial"/>
        <family val="2"/>
      </rPr>
      <t xml:space="preserve">provided </t>
    </r>
    <r>
      <rPr>
        <sz val="11"/>
        <rFont val="Arial"/>
        <family val="2"/>
      </rPr>
      <t>that:
(a) it is not sold or incorporated into a commercial product;
(b) it is properly attributed to the ISO27k Forum at www.ISO27001security.com; and
(c) derivative works are shared under the same terms as this.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</si>
</sst>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23" x14ac:knownFonts="1">
    <font>
      <sz val="11"/>
      <name val="Arial"/>
      <family val="2"/>
    </font>
    <font>
      <sz val="8"/>
      <name val="Arial Narrow"/>
      <family val="2"/>
    </font>
    <font>
      <b/>
      <sz val="8"/>
      <name val="Arial Narrow"/>
      <family val="2"/>
    </font>
    <font>
      <b/>
      <sz val="8"/>
      <color indexed="81"/>
      <name val="Tahoma"/>
    </font>
    <font>
      <b/>
      <sz val="8"/>
      <color indexed="81"/>
      <name val="Tahoma"/>
      <family val="2"/>
    </font>
    <font>
      <sz val="8"/>
      <color indexed="81"/>
      <name val="Tahoma"/>
    </font>
    <font>
      <u/>
      <sz val="8"/>
      <color indexed="12"/>
      <name val="Arial Narrow"/>
      <family val="2"/>
    </font>
    <font>
      <sz val="11"/>
      <name val="Arial"/>
      <family val="2"/>
    </font>
    <font>
      <b/>
      <sz val="11"/>
      <name val="Arial"/>
      <family val="2"/>
    </font>
    <font>
      <b/>
      <sz val="26"/>
      <name val="Arial"/>
      <family val="2"/>
    </font>
    <font>
      <sz val="11"/>
      <name val="Arial"/>
      <family val="2"/>
    </font>
    <font>
      <i/>
      <sz val="11"/>
      <name val="Arial"/>
      <family val="2"/>
    </font>
    <font>
      <u/>
      <sz val="24"/>
      <color indexed="12"/>
      <name val="Arial Narrow"/>
      <family val="2"/>
    </font>
    <font>
      <sz val="10"/>
      <name val="Arial"/>
      <family val="2"/>
    </font>
    <font>
      <sz val="9"/>
      <name val="Arial"/>
      <family val="2"/>
    </font>
    <font>
      <sz val="14"/>
      <name val="Arial Narrow"/>
      <family val="2"/>
    </font>
    <font>
      <sz val="22"/>
      <name val="Arial"/>
      <family val="2"/>
    </font>
    <font>
      <sz val="28"/>
      <name val="Arial"/>
      <family val="2"/>
    </font>
    <font>
      <b/>
      <sz val="14"/>
      <name val="Arial"/>
      <family val="2"/>
    </font>
    <font>
      <b/>
      <sz val="11"/>
      <color theme="1" tint="0.499984740745262"/>
      <name val="Arial"/>
      <family val="2"/>
    </font>
    <font>
      <sz val="22"/>
      <color theme="1" tint="0.499984740745262"/>
      <name val="Arial"/>
      <family val="2"/>
    </font>
    <font>
      <b/>
      <sz val="14"/>
      <color indexed="12"/>
      <name val="Arial Narrow"/>
      <family val="2"/>
    </font>
    <font>
      <b/>
      <sz val="9"/>
      <color indexed="81"/>
      <name val="Tahoma"/>
      <family val="2"/>
    </font>
  </fonts>
  <fills count="7">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1"/>
        <bgColor indexed="64"/>
      </patternFill>
    </fill>
    <fill>
      <patternFill patternType="solid">
        <fgColor theme="0" tint="-0.14996795556505021"/>
        <bgColor indexed="64"/>
      </patternFill>
    </fill>
  </fills>
  <borders count="26">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s>
  <cellStyleXfs count="3">
    <xf numFmtId="0" fontId="0" fillId="0" borderId="0" applyBorder="0">
      <alignment vertical="center" wrapText="1"/>
    </xf>
    <xf numFmtId="0" fontId="6" fillId="0" borderId="0" applyNumberFormat="0" applyFill="0" applyBorder="0" applyAlignment="0" applyProtection="0">
      <alignment vertical="top"/>
      <protection locked="0"/>
    </xf>
    <xf numFmtId="9" fontId="7" fillId="0" borderId="0" applyFont="0" applyFill="0" applyBorder="0" applyAlignment="0" applyProtection="0"/>
  </cellStyleXfs>
  <cellXfs count="78">
    <xf numFmtId="0" fontId="0" fillId="0" borderId="0" xfId="0">
      <alignment vertical="center" wrapText="1"/>
    </xf>
    <xf numFmtId="0" fontId="7" fillId="0" borderId="0" xfId="0" applyFont="1" applyAlignment="1">
      <alignment horizontal="center"/>
    </xf>
    <xf numFmtId="0" fontId="9" fillId="0" borderId="0" xfId="0" applyFont="1" applyAlignment="1">
      <alignment horizontal="center"/>
    </xf>
    <xf numFmtId="0" fontId="1" fillId="0" borderId="0" xfId="0" applyFont="1" applyBorder="1" applyAlignment="1">
      <alignment wrapText="1"/>
    </xf>
    <xf numFmtId="0" fontId="0" fillId="0" borderId="0" xfId="0" applyAlignment="1">
      <alignment horizontal="right" vertical="center" wrapText="1"/>
    </xf>
    <xf numFmtId="0" fontId="10" fillId="0" borderId="0" xfId="0" applyFont="1" applyAlignment="1">
      <alignment vertical="center"/>
    </xf>
    <xf numFmtId="0" fontId="10" fillId="0" borderId="0" xfId="0" applyFont="1" applyBorder="1" applyAlignment="1">
      <alignment horizontal="center" vertical="center" wrapText="1"/>
    </xf>
    <xf numFmtId="0" fontId="10" fillId="0" borderId="0" xfId="0" applyFont="1" applyBorder="1" applyAlignment="1">
      <alignment vertical="center"/>
    </xf>
    <xf numFmtId="0" fontId="10" fillId="0" borderId="0" xfId="0" applyFont="1">
      <alignment vertical="center" wrapText="1"/>
    </xf>
    <xf numFmtId="0" fontId="0" fillId="0" borderId="0" xfId="0" applyAlignment="1">
      <alignment horizontal="center"/>
    </xf>
    <xf numFmtId="0" fontId="0" fillId="0" borderId="0" xfId="0" applyAlignment="1">
      <alignment horizontal="justify" vertical="center" wrapText="1"/>
    </xf>
    <xf numFmtId="0" fontId="12" fillId="0" borderId="0" xfId="1" applyNumberFormat="1" applyFont="1" applyAlignment="1" applyProtection="1">
      <alignment horizontal="center" vertical="center" wrapText="1"/>
    </xf>
    <xf numFmtId="15" fontId="0" fillId="0" borderId="0" xfId="0" quotePrefix="1" applyNumberFormat="1" applyAlignment="1">
      <alignment horizontal="center"/>
    </xf>
    <xf numFmtId="0" fontId="0" fillId="0" borderId="9" xfId="0" applyBorder="1">
      <alignment vertical="center" wrapText="1"/>
    </xf>
    <xf numFmtId="0" fontId="0" fillId="0" borderId="12" xfId="0" applyBorder="1">
      <alignment vertical="center" wrapText="1"/>
    </xf>
    <xf numFmtId="0" fontId="11" fillId="0" borderId="0" xfId="0" applyFont="1" applyBorder="1" applyAlignment="1">
      <alignment horizontal="center" wrapText="1"/>
    </xf>
    <xf numFmtId="49" fontId="0" fillId="0" borderId="0" xfId="0" applyNumberFormat="1" applyAlignment="1">
      <alignment wrapText="1"/>
    </xf>
    <xf numFmtId="49" fontId="2" fillId="0" borderId="0" xfId="0" applyNumberFormat="1" applyFont="1" applyBorder="1">
      <alignment vertical="center" wrapText="1"/>
    </xf>
    <xf numFmtId="0" fontId="1" fillId="0" borderId="0" xfId="0" applyFont="1" applyBorder="1">
      <alignment vertical="center" wrapText="1"/>
    </xf>
    <xf numFmtId="49" fontId="0" fillId="0" borderId="0" xfId="0" applyNumberFormat="1">
      <alignment vertical="center" wrapText="1"/>
    </xf>
    <xf numFmtId="0" fontId="0" fillId="0" borderId="0" xfId="0" applyAlignment="1">
      <alignment horizontal="center" vertical="center"/>
    </xf>
    <xf numFmtId="0" fontId="13" fillId="0" borderId="3" xfId="0" applyFont="1" applyBorder="1" applyAlignment="1">
      <alignment horizontal="center" vertical="center" wrapText="1"/>
    </xf>
    <xf numFmtId="0" fontId="15" fillId="0" borderId="0" xfId="0" applyFont="1" applyBorder="1" applyAlignment="1">
      <alignment wrapText="1"/>
    </xf>
    <xf numFmtId="0" fontId="11" fillId="0" borderId="0" xfId="0" applyFont="1" applyBorder="1" applyAlignment="1">
      <alignment horizontal="right" vertical="center" wrapText="1"/>
    </xf>
    <xf numFmtId="0" fontId="0" fillId="0" borderId="0" xfId="0" applyBorder="1" applyAlignment="1">
      <alignment horizontal="right" vertical="center" wrapText="1"/>
    </xf>
    <xf numFmtId="0" fontId="0" fillId="3" borderId="13" xfId="0" applyFill="1" applyBorder="1" applyAlignment="1">
      <alignment horizontal="center" vertical="center" wrapText="1"/>
    </xf>
    <xf numFmtId="0" fontId="0" fillId="3" borderId="1" xfId="0" applyFill="1" applyBorder="1" applyAlignment="1">
      <alignment horizontal="center" vertical="center" wrapText="1"/>
    </xf>
    <xf numFmtId="0" fontId="0" fillId="3" borderId="15" xfId="0" applyFill="1" applyBorder="1" applyAlignment="1">
      <alignment horizontal="center" vertical="center" wrapText="1"/>
    </xf>
    <xf numFmtId="0" fontId="18" fillId="3" borderId="5" xfId="0" applyFont="1" applyFill="1" applyBorder="1" applyAlignment="1">
      <alignment horizontal="center" vertical="center" wrapText="1"/>
    </xf>
    <xf numFmtId="0" fontId="18" fillId="3" borderId="7" xfId="0" applyFont="1" applyFill="1" applyBorder="1" applyAlignment="1">
      <alignment horizontal="center" vertical="center" wrapText="1"/>
    </xf>
    <xf numFmtId="0" fontId="18" fillId="3" borderId="8" xfId="0" applyFont="1" applyFill="1" applyBorder="1" applyAlignment="1">
      <alignment horizontal="center" vertical="center" wrapText="1"/>
    </xf>
    <xf numFmtId="0" fontId="18" fillId="3" borderId="6" xfId="0" applyFont="1" applyFill="1" applyBorder="1" applyAlignment="1">
      <alignment horizontal="center" vertical="center" wrapText="1"/>
    </xf>
    <xf numFmtId="0" fontId="18" fillId="3" borderId="10" xfId="0" applyFont="1" applyFill="1" applyBorder="1" applyAlignment="1">
      <alignment horizontal="center" vertical="center" wrapText="1"/>
    </xf>
    <xf numFmtId="0" fontId="0" fillId="3" borderId="6" xfId="0" applyFill="1" applyBorder="1" applyAlignment="1">
      <alignment horizontal="center" wrapText="1"/>
    </xf>
    <xf numFmtId="0" fontId="0" fillId="3" borderId="4" xfId="0" applyFill="1" applyBorder="1" applyAlignment="1">
      <alignment horizontal="center" wrapText="1"/>
    </xf>
    <xf numFmtId="0" fontId="0" fillId="3" borderId="9" xfId="0" applyFill="1" applyBorder="1" applyAlignment="1">
      <alignment horizontal="center" wrapText="1"/>
    </xf>
    <xf numFmtId="9" fontId="19" fillId="0" borderId="7" xfId="2" applyFont="1" applyBorder="1" applyAlignment="1">
      <alignment horizontal="center" vertical="center" textRotation="90" wrapText="1"/>
    </xf>
    <xf numFmtId="9" fontId="19" fillId="0" borderId="4" xfId="2" applyFont="1" applyBorder="1" applyAlignment="1">
      <alignment horizontal="center" vertical="center" textRotation="90" wrapText="1"/>
    </xf>
    <xf numFmtId="9" fontId="19" fillId="0" borderId="11" xfId="2" applyFont="1" applyBorder="1" applyAlignment="1">
      <alignment horizontal="center" vertical="center" textRotation="90" wrapText="1"/>
    </xf>
    <xf numFmtId="9" fontId="19" fillId="4" borderId="6" xfId="2" applyFont="1" applyFill="1" applyBorder="1" applyAlignment="1">
      <alignment horizontal="center" vertical="center" wrapText="1"/>
    </xf>
    <xf numFmtId="9" fontId="19" fillId="4" borderId="4" xfId="2" applyFont="1" applyFill="1" applyBorder="1" applyAlignment="1">
      <alignment horizontal="center" vertical="center" wrapText="1"/>
    </xf>
    <xf numFmtId="9" fontId="19" fillId="4" borderId="9" xfId="2" applyFont="1" applyFill="1" applyBorder="1" applyAlignment="1">
      <alignment horizontal="center" vertical="center" wrapText="1"/>
    </xf>
    <xf numFmtId="9" fontId="20" fillId="5" borderId="4" xfId="2" applyFont="1" applyFill="1" applyBorder="1" applyAlignment="1">
      <alignment horizontal="center" vertical="center" wrapText="1"/>
    </xf>
    <xf numFmtId="9" fontId="20" fillId="5" borderId="9" xfId="2" applyFont="1" applyFill="1" applyBorder="1" applyAlignment="1">
      <alignment horizontal="center" vertical="center" wrapText="1"/>
    </xf>
    <xf numFmtId="9" fontId="20" fillId="5" borderId="11" xfId="2" applyFont="1" applyFill="1" applyBorder="1" applyAlignment="1">
      <alignment horizontal="center" vertical="center" wrapText="1"/>
    </xf>
    <xf numFmtId="9" fontId="20" fillId="5" borderId="12" xfId="2" applyFont="1" applyFill="1" applyBorder="1" applyAlignment="1">
      <alignment horizontal="center" vertical="center" wrapText="1"/>
    </xf>
    <xf numFmtId="0" fontId="16" fillId="0" borderId="5" xfId="0" applyFont="1" applyBorder="1" applyAlignment="1">
      <alignment horizontal="center" vertical="center" wrapText="1"/>
    </xf>
    <xf numFmtId="0" fontId="16" fillId="0" borderId="8" xfId="0" applyFont="1" applyBorder="1" applyAlignment="1">
      <alignment horizontal="center" vertical="center" wrapText="1"/>
    </xf>
    <xf numFmtId="49" fontId="8" fillId="3" borderId="6" xfId="0" applyNumberFormat="1" applyFont="1" applyFill="1" applyBorder="1" applyAlignment="1">
      <alignment horizontal="center" vertical="center" wrapText="1"/>
    </xf>
    <xf numFmtId="0" fontId="8" fillId="3" borderId="6" xfId="0" applyFont="1" applyFill="1" applyBorder="1" applyAlignment="1">
      <alignment horizontal="center" vertical="center" wrapText="1"/>
    </xf>
    <xf numFmtId="0" fontId="0" fillId="6" borderId="9" xfId="0" applyFill="1" applyBorder="1">
      <alignment vertical="center" wrapText="1"/>
    </xf>
    <xf numFmtId="0" fontId="8" fillId="3" borderId="10" xfId="0" applyFont="1" applyFill="1" applyBorder="1" applyAlignment="1">
      <alignment horizontal="center" vertical="center" wrapText="1"/>
    </xf>
    <xf numFmtId="0" fontId="13" fillId="0" borderId="2" xfId="0" applyFont="1" applyBorder="1" applyAlignment="1">
      <alignment horizontal="center" vertical="center" wrapText="1"/>
    </xf>
    <xf numFmtId="9" fontId="13" fillId="0" borderId="21" xfId="2" applyFont="1" applyBorder="1" applyAlignment="1">
      <alignment horizontal="center" vertical="center"/>
    </xf>
    <xf numFmtId="9" fontId="13" fillId="0" borderId="24" xfId="2" applyFont="1" applyBorder="1" applyAlignment="1">
      <alignment horizontal="center" vertical="center"/>
    </xf>
    <xf numFmtId="0" fontId="21" fillId="3" borderId="17" xfId="1" applyFont="1" applyFill="1" applyBorder="1" applyAlignment="1" applyProtection="1">
      <alignment horizontal="center" wrapText="1"/>
    </xf>
    <xf numFmtId="0" fontId="21" fillId="3" borderId="18" xfId="1" applyFont="1" applyFill="1" applyBorder="1" applyAlignment="1" applyProtection="1">
      <alignment horizontal="center" wrapText="1"/>
    </xf>
    <xf numFmtId="0" fontId="21" fillId="2" borderId="18" xfId="1" applyFont="1" applyFill="1" applyBorder="1" applyAlignment="1" applyProtection="1">
      <alignment horizontal="center" textRotation="90" wrapText="1"/>
    </xf>
    <xf numFmtId="0" fontId="21" fillId="3" borderId="18" xfId="1" applyFont="1" applyFill="1" applyBorder="1" applyAlignment="1" applyProtection="1">
      <alignment horizontal="center" textRotation="90" wrapText="1"/>
    </xf>
    <xf numFmtId="0" fontId="21" fillId="3" borderId="19" xfId="1" applyFont="1" applyFill="1" applyBorder="1" applyAlignment="1" applyProtection="1">
      <alignment horizontal="center" wrapText="1"/>
    </xf>
    <xf numFmtId="6" fontId="13" fillId="0" borderId="21" xfId="0" applyNumberFormat="1" applyFont="1" applyBorder="1" applyAlignment="1" applyProtection="1">
      <alignment horizontal="center" vertical="center" wrapText="1"/>
      <protection locked="0"/>
    </xf>
    <xf numFmtId="49" fontId="13" fillId="0" borderId="20" xfId="0" applyNumberFormat="1" applyFont="1" applyBorder="1" applyAlignment="1" applyProtection="1">
      <alignment horizontal="center" vertical="center" wrapText="1"/>
      <protection locked="0"/>
    </xf>
    <xf numFmtId="0" fontId="13" fillId="0" borderId="21" xfId="0" applyFont="1" applyBorder="1" applyAlignment="1" applyProtection="1">
      <alignment horizontal="center" vertical="center" wrapText="1"/>
      <protection locked="0"/>
    </xf>
    <xf numFmtId="9" fontId="13" fillId="0" borderId="21" xfId="2" applyFont="1" applyBorder="1" applyAlignment="1" applyProtection="1">
      <alignment horizontal="center" vertical="center" wrapText="1"/>
      <protection locked="0"/>
    </xf>
    <xf numFmtId="49" fontId="13" fillId="0" borderId="23" xfId="0" applyNumberFormat="1" applyFont="1" applyBorder="1" applyAlignment="1" applyProtection="1">
      <alignment horizontal="center" vertical="center" wrapText="1"/>
      <protection locked="0"/>
    </xf>
    <xf numFmtId="0" fontId="13" fillId="0" borderId="24" xfId="0" applyFont="1" applyBorder="1" applyAlignment="1" applyProtection="1">
      <alignment horizontal="center" vertical="center" wrapText="1"/>
      <protection locked="0"/>
    </xf>
    <xf numFmtId="9" fontId="13" fillId="0" borderId="24" xfId="2" applyFont="1" applyBorder="1" applyAlignment="1" applyProtection="1">
      <alignment horizontal="center" vertical="center" wrapText="1"/>
      <protection locked="0"/>
    </xf>
    <xf numFmtId="0" fontId="13" fillId="0" borderId="21" xfId="0" applyFont="1" applyBorder="1" applyAlignment="1" applyProtection="1">
      <alignment horizontal="left" vertical="center" wrapText="1"/>
      <protection locked="0"/>
    </xf>
    <xf numFmtId="14" fontId="13" fillId="0" borderId="22" xfId="0" applyNumberFormat="1" applyFont="1" applyBorder="1" applyAlignment="1" applyProtection="1">
      <alignment horizontal="center" vertical="center" wrapText="1"/>
      <protection locked="0"/>
    </xf>
    <xf numFmtId="0" fontId="13" fillId="0" borderId="24" xfId="0" applyFont="1" applyBorder="1" applyAlignment="1" applyProtection="1">
      <alignment horizontal="left" vertical="center" wrapText="1"/>
      <protection locked="0"/>
    </xf>
    <xf numFmtId="14" fontId="13" fillId="0" borderId="25" xfId="0" applyNumberFormat="1"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xf numFmtId="0" fontId="11" fillId="0" borderId="0" xfId="0" applyFont="1" applyBorder="1" applyAlignment="1">
      <alignment horizontal="right" vertical="center" wrapText="1"/>
    </xf>
    <xf numFmtId="0" fontId="0" fillId="0" borderId="0" xfId="0" applyBorder="1" applyAlignment="1">
      <alignment horizontal="right" vertical="center" wrapText="1"/>
    </xf>
    <xf numFmtId="0" fontId="17" fillId="0" borderId="14" xfId="0" applyFont="1" applyBorder="1" applyAlignment="1">
      <alignment vertical="center" textRotation="90" wrapText="1"/>
    </xf>
    <xf numFmtId="0" fontId="17" fillId="0" borderId="16" xfId="0" applyFont="1" applyBorder="1" applyAlignment="1">
      <alignment horizontal="center" vertical="center" wrapText="1"/>
    </xf>
    <xf numFmtId="0" fontId="0" fillId="0" borderId="0" xfId="0" applyAlignment="1">
      <alignment horizontal="center" vertical="center" wrapText="1"/>
    </xf>
    <xf numFmtId="0" fontId="10" fillId="0" borderId="0" xfId="0" applyFont="1" applyAlignment="1">
      <alignment horizontal="center" vertical="center" wrapText="1"/>
    </xf>
  </cellXfs>
  <cellStyles count="3">
    <cellStyle name="Hyperlink" xfId="1" builtinId="8"/>
    <cellStyle name="Normal" xfId="0" builtinId="0"/>
    <cellStyle name="Percent" xfId="2" builtinId="5"/>
  </cellStyles>
  <dxfs count="49">
    <dxf>
      <font>
        <b val="0"/>
        <i val="0"/>
        <strike val="0"/>
        <condense val="0"/>
        <extend val="0"/>
        <outline val="0"/>
        <shadow val="0"/>
        <u val="none"/>
        <vertAlign val="baseline"/>
        <sz val="10"/>
        <color auto="1"/>
        <name val="Arial"/>
        <scheme val="none"/>
      </font>
      <numFmt numFmtId="19"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0"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border>
        <bottom style="hair">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color rgb="FF9C0006"/>
      </font>
      <fill>
        <patternFill>
          <bgColor rgb="FFFFC7CE"/>
        </patternFill>
      </fill>
    </dxf>
    <dxf>
      <font>
        <b/>
        <i val="0"/>
      </font>
    </dxf>
    <dxf>
      <font>
        <b/>
        <i val="0"/>
      </font>
    </dxf>
    <dxf>
      <font>
        <b/>
        <i val="0"/>
      </font>
    </dxf>
    <dxf>
      <font>
        <b val="0"/>
        <i val="0"/>
        <strike val="0"/>
        <condense val="0"/>
        <extend val="0"/>
        <outline val="0"/>
        <shadow val="0"/>
        <u val="none"/>
        <vertAlign val="baseline"/>
        <sz val="10"/>
        <color auto="1"/>
        <name val="Arial"/>
        <scheme val="none"/>
      </font>
      <numFmt numFmtId="19" formatCode="d/mm/yyyy"/>
      <alignment horizontal="center" vertical="center" textRotation="0" wrapText="1" indent="0" justifyLastLine="0" shrinkToFit="0" readingOrder="0"/>
      <border diagonalUp="0" diagonalDown="0">
        <left style="hair">
          <color indexed="64"/>
        </left>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numFmt numFmtId="13" formatCode="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10" formatCode="&quot;$&quot;#,##0;[Red]\-&quot;$&quot;#,##0"/>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10"/>
        <color auto="1"/>
        <name val="Arial"/>
        <scheme val="none"/>
      </font>
      <numFmt numFmtId="30" formatCode="@"/>
      <alignment horizontal="center" vertical="center" textRotation="0" wrapText="1" indent="0" justifyLastLine="0" shrinkToFit="0" readingOrder="0"/>
      <border diagonalUp="0" diagonalDown="0">
        <left/>
        <right style="hair">
          <color indexed="64"/>
        </right>
        <top style="hair">
          <color indexed="64"/>
        </top>
        <bottom style="hair">
          <color indexed="64"/>
        </bottom>
        <vertical style="hair">
          <color indexed="64"/>
        </vertical>
        <horizontal style="hair">
          <color indexed="64"/>
        </horizontal>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border>
        <bottom style="hair">
          <color indexed="64"/>
        </bottom>
      </border>
    </dxf>
    <dxf>
      <font>
        <b/>
        <i val="0"/>
        <strike val="0"/>
        <condense val="0"/>
        <extend val="0"/>
        <outline val="0"/>
        <shadow val="0"/>
        <u val="none"/>
        <vertAlign val="baseline"/>
        <sz val="14"/>
        <color indexed="12"/>
        <name val="Arial Narrow"/>
        <scheme val="none"/>
      </font>
      <fill>
        <patternFill patternType="solid">
          <fgColor indexed="64"/>
          <bgColor indexed="5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i val="0"/>
      </font>
    </dxf>
    <dxf>
      <font>
        <b/>
        <i val="0"/>
      </font>
    </dxf>
    <dxf>
      <font>
        <b/>
        <i val="0"/>
      </font>
    </dxf>
    <dxf>
      <font>
        <b/>
        <i val="0"/>
      </font>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10/relationships/person" Target="persons/person.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iso27001security.com/"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1181100</xdr:colOff>
      <xdr:row>1</xdr:row>
      <xdr:rowOff>9525</xdr:rowOff>
    </xdr:from>
    <xdr:to>
      <xdr:col>1</xdr:col>
      <xdr:colOff>1428750</xdr:colOff>
      <xdr:row>4</xdr:row>
      <xdr:rowOff>114300</xdr:rowOff>
    </xdr:to>
    <xdr:pic>
      <xdr:nvPicPr>
        <xdr:cNvPr id="3073" name="Picture 1" descr="ISO27001security logo 150">
          <a:hlinkClick xmlns:r="http://schemas.openxmlformats.org/officeDocument/2006/relationships" r:id="rId1"/>
          <a:extLst>
            <a:ext uri="{FF2B5EF4-FFF2-40B4-BE49-F238E27FC236}">
              <a16:creationId xmlns:a16="http://schemas.microsoft.com/office/drawing/2014/main" id="{00000000-0008-0000-0000-000001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175" y="552450"/>
          <a:ext cx="142875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24" displayName="Table24" ref="B2:Q25" totalsRowShown="0" headerRowDxfId="43" headerRowBorderDxfId="42" tableBorderDxfId="41" totalsRowBorderDxfId="40">
  <autoFilter ref="B2:Q25" xr:uid="{00000000-0009-0000-0100-000003000000}"/>
  <sortState xmlns:xlrd2="http://schemas.microsoft.com/office/spreadsheetml/2017/richdata2" ref="B3:Q25">
    <sortCondition ref="B2:B25"/>
  </sortState>
  <tableColumns count="16">
    <tableColumn id="1" xr3:uid="{00000000-0010-0000-0000-000001000000}" name="   ID_x000a_" dataDxfId="39"/>
    <tableColumn id="2" xr3:uid="{00000000-0010-0000-0000-000002000000}" name="Risco" dataDxfId="38"/>
    <tableColumn id="3" xr3:uid="{00000000-0010-0000-0000-000003000000}" name="      Proprietário do Ativo" dataDxfId="37"/>
    <tableColumn id="4" xr3:uid="{00000000-0010-0000-0000-000004000000}" name="Impacto" dataDxfId="36"/>
    <tableColumn id="5" xr3:uid="{00000000-0010-0000-0000-000005000000}" name="    Probabilidade inerente" dataDxfId="35"/>
    <tableColumn id="6" xr3:uid="{00000000-0010-0000-0000-000006000000}" name="    Impacto inerente" dataDxfId="34"/>
    <tableColumn id="7" xr3:uid="{00000000-0010-0000-0000-000007000000}" name="    Nível de risco inerente" dataDxfId="33">
      <calculatedColumnFormula>F3*G3</calculatedColumnFormula>
    </tableColumn>
    <tableColumn id="8" xr3:uid="{00000000-0010-0000-0000-000008000000}" name="Tratamento" dataDxfId="32"/>
    <tableColumn id="9" xr3:uid="{00000000-0010-0000-0000-000009000000}" name="    Custo do tratamento" dataDxfId="31"/>
    <tableColumn id="10" xr3:uid="{00000000-0010-0000-0000-00000A000000}" name="    Status do tratamento" dataDxfId="30"/>
    <tableColumn id="11" xr3:uid="{00000000-0010-0000-0000-00000B000000}" name="    Propabilidade residual" dataDxfId="29">
      <calculatedColumnFormula>Table24[[#This Row],[    Probabilidade inerente]]</calculatedColumnFormula>
    </tableColumn>
    <tableColumn id="12" xr3:uid="{00000000-0010-0000-0000-00000C000000}" name="    Impacto residual" dataDxfId="28">
      <calculatedColumnFormula>Table24[[#This Row],[    Impacto inerente]]</calculatedColumnFormula>
    </tableColumn>
    <tableColumn id="13" xr3:uid="{00000000-0010-0000-0000-00000D000000}" name="    Nível de risco almejado" dataDxfId="27">
      <calculatedColumnFormula>L3*M3</calculatedColumnFormula>
    </tableColumn>
    <tableColumn id="17" xr3:uid="{00000000-0010-0000-0000-000011000000}" name="    Nível de risco atual" dataDxfId="26">
      <calculatedColumnFormula>Table24[[#This Row],[    Nível de risco inerente]]-(Table24[[#This Row],[    Status do tratamento]]*(Table24[[#This Row],[    Nível de risco inerente]]-Table24[[#This Row],[    Nível de risco almejado]]))</calculatedColumnFormula>
    </tableColumn>
    <tableColumn id="15" xr3:uid="{00000000-0010-0000-0000-00000F000000}" name="Notas" dataDxfId="25"/>
    <tableColumn id="16" xr3:uid="{00000000-0010-0000-0000-000010000000}" name="Última atualização_x000a_" dataDxfId="2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2:Q11" totalsRowShown="0" headerRowDxfId="19" headerRowBorderDxfId="18" tableBorderDxfId="17" totalsRowBorderDxfId="16">
  <autoFilter ref="B2:Q11" xr:uid="{00000000-0009-0000-0100-000002000000}"/>
  <sortState xmlns:xlrd2="http://schemas.microsoft.com/office/spreadsheetml/2017/richdata2" ref="B3:Q11">
    <sortCondition descending="1" ref="O2:O11"/>
  </sortState>
  <tableColumns count="16">
    <tableColumn id="1" xr3:uid="{00000000-0010-0000-0100-000001000000}" name=" ID_x000a_" dataDxfId="15"/>
    <tableColumn id="2" xr3:uid="{00000000-0010-0000-0100-000002000000}" name="Risco" dataDxfId="14"/>
    <tableColumn id="3" xr3:uid="{00000000-0010-0000-0100-000003000000}" name="    Proprietário do Ativo" dataDxfId="13"/>
    <tableColumn id="4" xr3:uid="{00000000-0010-0000-0100-000004000000}" name="Impacto" dataDxfId="12"/>
    <tableColumn id="5" xr3:uid="{00000000-0010-0000-0100-000005000000}" name="    Probabilidade inerente" dataDxfId="11"/>
    <tableColumn id="6" xr3:uid="{00000000-0010-0000-0100-000006000000}" name="   Impacto inerente" dataDxfId="10"/>
    <tableColumn id="7" xr3:uid="{00000000-0010-0000-0100-000007000000}" name="    Nível de risco inerente" dataDxfId="9"/>
    <tableColumn id="8" xr3:uid="{00000000-0010-0000-0100-000008000000}" name="Tratamento" dataDxfId="8"/>
    <tableColumn id="9" xr3:uid="{00000000-0010-0000-0100-000009000000}" name="    Custo do tratamento" dataDxfId="7"/>
    <tableColumn id="10" xr3:uid="{00000000-0010-0000-0100-00000A000000}" name="    Status do tratamento" dataDxfId="6"/>
    <tableColumn id="11" xr3:uid="{00000000-0010-0000-0100-00000B000000}" name="    Probabilidade residual" dataDxfId="5"/>
    <tableColumn id="12" xr3:uid="{00000000-0010-0000-0100-00000C000000}" name="   Impacto residual" dataDxfId="4"/>
    <tableColumn id="13" xr3:uid="{00000000-0010-0000-0100-00000D000000}" name="    Nível de risco almejado" dataDxfId="3">
      <calculatedColumnFormula>L3*M3</calculatedColumnFormula>
    </tableColumn>
    <tableColumn id="17" xr3:uid="{00000000-0010-0000-0100-000011000000}" name="    Nível de risco atual" dataDxfId="2">
      <calculatedColumnFormula>Table2[[#This Row],[    Nível de risco inerente]]-(Table2[[#This Row],[    Status do tratamento]]*(Table2[[#This Row],[    Nível de risco inerente]]-Table2[[#This Row],[    Nível de risco almejado]]))</calculatedColumnFormula>
    </tableColumn>
    <tableColumn id="15" xr3:uid="{00000000-0010-0000-0100-00000F000000}" name="Notas" dataDxfId="1"/>
    <tableColumn id="16" xr3:uid="{00000000-0010-0000-0100-000010000000}" name="Última atualização_x000a_"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B21"/>
  <sheetViews>
    <sheetView tabSelected="1" topLeftCell="A9" zoomScale="130" zoomScaleNormal="130" workbookViewId="0">
      <selection activeCell="B22" sqref="B22"/>
    </sheetView>
  </sheetViews>
  <sheetFormatPr defaultRowHeight="14.25" x14ac:dyDescent="0.2"/>
  <cols>
    <col min="1" max="1" width="3.25" customWidth="1"/>
    <col min="2" max="2" width="146.625" customWidth="1"/>
  </cols>
  <sheetData>
    <row r="1" spans="2:2" x14ac:dyDescent="0.2">
      <c r="B1" s="1"/>
    </row>
    <row r="2" spans="2:2" ht="61.5" customHeight="1" x14ac:dyDescent="0.5">
      <c r="B2" s="2" t="s">
        <v>14</v>
      </c>
    </row>
    <row r="3" spans="2:2" x14ac:dyDescent="0.2">
      <c r="B3" s="1"/>
    </row>
    <row r="4" spans="2:2" ht="13.5" customHeight="1" x14ac:dyDescent="0.2">
      <c r="B4" s="1"/>
    </row>
    <row r="5" spans="2:2" x14ac:dyDescent="0.2">
      <c r="B5" s="12" t="s">
        <v>113</v>
      </c>
    </row>
    <row r="6" spans="2:2" x14ac:dyDescent="0.2">
      <c r="B6" s="9" t="s">
        <v>114</v>
      </c>
    </row>
    <row r="7" spans="2:2" x14ac:dyDescent="0.2">
      <c r="B7" s="9" t="s">
        <v>124</v>
      </c>
    </row>
    <row r="9" spans="2:2" ht="30" x14ac:dyDescent="0.2">
      <c r="B9" s="11" t="s">
        <v>36</v>
      </c>
    </row>
    <row r="10" spans="2:2" ht="30" x14ac:dyDescent="0.2">
      <c r="B10" s="11" t="s">
        <v>37</v>
      </c>
    </row>
    <row r="11" spans="2:2" ht="30" x14ac:dyDescent="0.2">
      <c r="B11" s="11" t="s">
        <v>91</v>
      </c>
    </row>
    <row r="12" spans="2:2" ht="11.25" customHeight="1" x14ac:dyDescent="0.2">
      <c r="B12" s="11"/>
    </row>
    <row r="13" spans="2:2" ht="28.5" x14ac:dyDescent="0.2">
      <c r="B13" s="10" t="s">
        <v>17</v>
      </c>
    </row>
    <row r="14" spans="2:2" x14ac:dyDescent="0.2">
      <c r="B14" s="10"/>
    </row>
    <row r="15" spans="2:2" ht="43.5" x14ac:dyDescent="0.2">
      <c r="B15" s="10" t="s">
        <v>119</v>
      </c>
    </row>
    <row r="16" spans="2:2" x14ac:dyDescent="0.2">
      <c r="B16" s="10"/>
    </row>
    <row r="17" spans="2:2" ht="86.25" x14ac:dyDescent="0.2">
      <c r="B17" s="10" t="s">
        <v>120</v>
      </c>
    </row>
    <row r="18" spans="2:2" x14ac:dyDescent="0.2">
      <c r="B18" s="10"/>
    </row>
    <row r="19" spans="2:2" ht="71.25" x14ac:dyDescent="0.2">
      <c r="B19" s="10" t="s">
        <v>126</v>
      </c>
    </row>
    <row r="20" spans="2:2" x14ac:dyDescent="0.2">
      <c r="B20" s="10"/>
    </row>
    <row r="21" spans="2:2" ht="42.75" x14ac:dyDescent="0.2">
      <c r="B21" s="10" t="s">
        <v>1</v>
      </c>
    </row>
  </sheetData>
  <phoneticPr fontId="0" type="noConversion"/>
  <hyperlinks>
    <hyperlink ref="B9" location="'Orientações de uso'!A1" display="Clique aqui para orientações sobre como usar o registro de riscos," xr:uid="{00000000-0004-0000-0000-000000000000}"/>
    <hyperlink ref="B11" location="'Orientações para classificação'!A1" display="clique aqui para orientações sobre como classificar as probabilidades, impactos e riscos" xr:uid="{00000000-0004-0000-0000-000001000000}"/>
    <hyperlink ref="B10" location="'Exemplo prático'!A1" display="clique aqui para um exemplo prático, e" xr:uid="{00000000-0004-0000-0000-000002000000}"/>
  </hyperlinks>
  <pageMargins left="0.75" right="0.75" top="1" bottom="1" header="0.5" footer="0.5"/>
  <pageSetup paperSize="9" orientation="portrait"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T32"/>
  <sheetViews>
    <sheetView workbookViewId="0">
      <selection activeCell="N3" sqref="N3"/>
    </sheetView>
  </sheetViews>
  <sheetFormatPr defaultColWidth="9" defaultRowHeight="14.25" x14ac:dyDescent="0.2"/>
  <cols>
    <col min="1" max="1" width="1.625" customWidth="1"/>
    <col min="2" max="2" width="9.25" style="19" bestFit="1" customWidth="1"/>
    <col min="3" max="3" width="24.125" customWidth="1"/>
    <col min="4" max="4" width="4.875" customWidth="1"/>
    <col min="5" max="5" width="27.25" customWidth="1"/>
    <col min="6" max="6" width="5.125" customWidth="1"/>
    <col min="7" max="7" width="5" customWidth="1"/>
    <col min="8" max="8" width="4.875" style="20" customWidth="1"/>
    <col min="9" max="9" width="25.25" customWidth="1"/>
    <col min="10" max="10" width="7.75" customWidth="1"/>
    <col min="11" max="14" width="5.125" customWidth="1"/>
    <col min="15" max="15" width="5.125" style="20" customWidth="1"/>
    <col min="16" max="16" width="75.625" customWidth="1"/>
    <col min="17" max="17" width="10.375" customWidth="1"/>
    <col min="18" max="18" width="9" customWidth="1"/>
  </cols>
  <sheetData>
    <row r="1" spans="1:228" s="18" customFormat="1" ht="8.25" customHeight="1" x14ac:dyDescent="0.2">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row>
    <row r="2" spans="1:228" s="22" customFormat="1" ht="152.25" x14ac:dyDescent="0.25">
      <c r="A2" s="16"/>
      <c r="B2" s="55" t="s">
        <v>35</v>
      </c>
      <c r="C2" s="56" t="s">
        <v>18</v>
      </c>
      <c r="D2" s="58" t="s">
        <v>39</v>
      </c>
      <c r="E2" s="56" t="s">
        <v>19</v>
      </c>
      <c r="F2" s="57" t="s">
        <v>21</v>
      </c>
      <c r="G2" s="57" t="s">
        <v>22</v>
      </c>
      <c r="H2" s="57" t="s">
        <v>42</v>
      </c>
      <c r="I2" s="56" t="s">
        <v>23</v>
      </c>
      <c r="J2" s="58" t="s">
        <v>24</v>
      </c>
      <c r="K2" s="58" t="s">
        <v>25</v>
      </c>
      <c r="L2" s="57" t="s">
        <v>26</v>
      </c>
      <c r="M2" s="57" t="s">
        <v>27</v>
      </c>
      <c r="N2" s="57" t="s">
        <v>44</v>
      </c>
      <c r="O2" s="57" t="s">
        <v>43</v>
      </c>
      <c r="P2" s="56" t="s">
        <v>16</v>
      </c>
      <c r="Q2" s="59" t="s">
        <v>45</v>
      </c>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row>
    <row r="3" spans="1:228" s="21" customFormat="1" ht="47.25" customHeight="1" x14ac:dyDescent="0.2">
      <c r="A3" s="19"/>
      <c r="B3" s="61"/>
      <c r="C3" s="62"/>
      <c r="D3" s="62"/>
      <c r="E3" s="71"/>
      <c r="F3" s="63"/>
      <c r="G3" s="63"/>
      <c r="H3" s="53">
        <f t="shared" ref="H3:H25" si="0">F3*G3</f>
        <v>0</v>
      </c>
      <c r="I3" s="71"/>
      <c r="J3" s="60"/>
      <c r="K3" s="63"/>
      <c r="L3" s="63">
        <f>Table24[[#This Row],[    Probabilidade inerente]]</f>
        <v>0</v>
      </c>
      <c r="M3" s="63">
        <f>Table24[[#This Row],[    Impacto inerente]]</f>
        <v>0</v>
      </c>
      <c r="N3" s="53">
        <f t="shared" ref="N3:N25" si="1">L3*M3</f>
        <v>0</v>
      </c>
      <c r="O3" s="63">
        <f>Table24[[#This Row],[    Nível de risco inerente]]-(Table24[[#This Row],[    Status do tratamento]]*(Table24[[#This Row],[    Nível de risco inerente]]-Table24[[#This Row],[    Nível de risco almejado]]))</f>
        <v>0</v>
      </c>
      <c r="P3" s="67"/>
      <c r="Q3" s="68"/>
      <c r="R3" s="52"/>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row>
    <row r="4" spans="1:228" s="21" customFormat="1" ht="47.25" customHeight="1" x14ac:dyDescent="0.2">
      <c r="A4" s="19"/>
      <c r="B4" s="61"/>
      <c r="C4" s="62"/>
      <c r="D4" s="62"/>
      <c r="E4" s="71"/>
      <c r="F4" s="63"/>
      <c r="G4" s="63"/>
      <c r="H4" s="53">
        <f t="shared" si="0"/>
        <v>0</v>
      </c>
      <c r="I4" s="71"/>
      <c r="J4" s="60"/>
      <c r="K4" s="63"/>
      <c r="L4" s="63">
        <f>Table24[[#This Row],[    Probabilidade inerente]]</f>
        <v>0</v>
      </c>
      <c r="M4" s="63">
        <f>Table24[[#This Row],[    Impacto inerente]]</f>
        <v>0</v>
      </c>
      <c r="N4" s="53">
        <f t="shared" si="1"/>
        <v>0</v>
      </c>
      <c r="O4" s="63">
        <f>Table24[[#This Row],[    Nível de risco inerente]]-(Table24[[#This Row],[    Status do tratamento]]*(Table24[[#This Row],[    Nível de risco inerente]]-Table24[[#This Row],[    Nível de risco almejado]]))</f>
        <v>0</v>
      </c>
      <c r="P4" s="67"/>
      <c r="Q4" s="68"/>
      <c r="R4" s="52"/>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row>
    <row r="5" spans="1:228" s="21" customFormat="1" ht="47.25" customHeight="1" x14ac:dyDescent="0.2">
      <c r="A5" s="19"/>
      <c r="B5" s="61"/>
      <c r="C5" s="62"/>
      <c r="D5" s="62"/>
      <c r="E5" s="71"/>
      <c r="F5" s="63"/>
      <c r="G5" s="63"/>
      <c r="H5" s="53">
        <f t="shared" si="0"/>
        <v>0</v>
      </c>
      <c r="I5" s="71"/>
      <c r="J5" s="60"/>
      <c r="K5" s="63"/>
      <c r="L5" s="63">
        <f>Table24[[#This Row],[    Probabilidade inerente]]</f>
        <v>0</v>
      </c>
      <c r="M5" s="63">
        <f>Table24[[#This Row],[    Impacto inerente]]</f>
        <v>0</v>
      </c>
      <c r="N5" s="53">
        <f t="shared" si="1"/>
        <v>0</v>
      </c>
      <c r="O5" s="63">
        <f>Table24[[#This Row],[    Nível de risco inerente]]-(Table24[[#This Row],[    Status do tratamento]]*(Table24[[#This Row],[    Nível de risco inerente]]-Table24[[#This Row],[    Nível de risco almejado]]))</f>
        <v>0</v>
      </c>
      <c r="P5" s="67"/>
      <c r="Q5" s="68"/>
      <c r="R5" s="52"/>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row>
    <row r="6" spans="1:228" s="21" customFormat="1" ht="47.25" customHeight="1" x14ac:dyDescent="0.2">
      <c r="A6" s="19"/>
      <c r="B6" s="61"/>
      <c r="C6" s="62"/>
      <c r="D6" s="62"/>
      <c r="E6" s="71"/>
      <c r="F6" s="63"/>
      <c r="G6" s="63"/>
      <c r="H6" s="53">
        <f t="shared" si="0"/>
        <v>0</v>
      </c>
      <c r="I6" s="71"/>
      <c r="J6" s="60"/>
      <c r="K6" s="63"/>
      <c r="L6" s="63">
        <f>Table24[[#This Row],[    Probabilidade inerente]]</f>
        <v>0</v>
      </c>
      <c r="M6" s="63">
        <f>Table24[[#This Row],[    Impacto inerente]]</f>
        <v>0</v>
      </c>
      <c r="N6" s="53">
        <f t="shared" si="1"/>
        <v>0</v>
      </c>
      <c r="O6" s="63">
        <f>Table24[[#This Row],[    Nível de risco inerente]]-(Table24[[#This Row],[    Status do tratamento]]*(Table24[[#This Row],[    Nível de risco inerente]]-Table24[[#This Row],[    Nível de risco almejado]]))</f>
        <v>0</v>
      </c>
      <c r="P6" s="67"/>
      <c r="Q6" s="68"/>
      <c r="R6" s="52"/>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18"/>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c r="DI6" s="18"/>
      <c r="DJ6" s="18"/>
      <c r="DK6" s="18"/>
      <c r="DL6" s="18"/>
      <c r="DM6" s="18"/>
      <c r="DN6" s="18"/>
      <c r="DO6" s="18"/>
      <c r="DP6" s="18"/>
      <c r="DQ6" s="18"/>
      <c r="DR6" s="18"/>
      <c r="DS6" s="18"/>
      <c r="DT6" s="18"/>
      <c r="DU6" s="18"/>
      <c r="DV6" s="18"/>
      <c r="DW6" s="18"/>
      <c r="DX6" s="18"/>
      <c r="DY6" s="18"/>
      <c r="DZ6" s="18"/>
      <c r="EA6" s="18"/>
      <c r="EB6" s="18"/>
      <c r="EC6" s="18"/>
      <c r="ED6" s="18"/>
      <c r="EE6" s="18"/>
      <c r="EF6" s="18"/>
      <c r="EG6" s="18"/>
      <c r="EH6" s="18"/>
      <c r="EI6" s="18"/>
      <c r="EJ6" s="18"/>
      <c r="EK6" s="18"/>
      <c r="EL6" s="18"/>
      <c r="EM6" s="18"/>
      <c r="EN6" s="18"/>
      <c r="EO6" s="18"/>
      <c r="EP6" s="18"/>
      <c r="EQ6" s="18"/>
      <c r="ER6" s="18"/>
      <c r="ES6" s="18"/>
      <c r="ET6" s="18"/>
      <c r="EU6" s="18"/>
      <c r="EV6" s="18"/>
      <c r="EW6" s="18"/>
      <c r="EX6" s="18"/>
      <c r="EY6" s="18"/>
      <c r="EZ6" s="18"/>
      <c r="FA6" s="18"/>
      <c r="FB6" s="18"/>
      <c r="FC6" s="18"/>
      <c r="FD6" s="18"/>
      <c r="FE6" s="18"/>
      <c r="FF6" s="18"/>
      <c r="FG6" s="18"/>
      <c r="FH6" s="18"/>
      <c r="FI6" s="18"/>
      <c r="FJ6" s="18"/>
      <c r="FK6" s="18"/>
      <c r="FL6" s="18"/>
      <c r="FM6" s="18"/>
      <c r="FN6" s="18"/>
      <c r="FO6" s="18"/>
      <c r="FP6" s="18"/>
      <c r="FQ6" s="18"/>
      <c r="FR6" s="18"/>
      <c r="FS6" s="18"/>
      <c r="FT6" s="18"/>
      <c r="FU6" s="18"/>
      <c r="FV6" s="18"/>
      <c r="FW6" s="18"/>
      <c r="FX6" s="18"/>
      <c r="FY6" s="18"/>
      <c r="FZ6" s="18"/>
      <c r="GA6" s="18"/>
      <c r="GB6" s="18"/>
      <c r="GC6" s="18"/>
      <c r="GD6" s="18"/>
      <c r="GE6" s="18"/>
      <c r="GF6" s="18"/>
      <c r="GG6" s="18"/>
      <c r="GH6" s="18"/>
      <c r="GI6" s="18"/>
      <c r="GJ6" s="18"/>
      <c r="GK6" s="18"/>
      <c r="GL6" s="18"/>
      <c r="GM6" s="18"/>
      <c r="GN6" s="18"/>
      <c r="GO6" s="18"/>
      <c r="GP6" s="18"/>
      <c r="GQ6" s="18"/>
      <c r="GR6" s="18"/>
      <c r="GS6" s="18"/>
      <c r="GT6" s="18"/>
      <c r="GU6" s="18"/>
      <c r="GV6" s="18"/>
      <c r="GW6" s="18"/>
      <c r="GX6" s="18"/>
      <c r="GY6" s="18"/>
      <c r="GZ6" s="18"/>
      <c r="HA6" s="18"/>
      <c r="HB6" s="18"/>
      <c r="HC6" s="18"/>
      <c r="HD6" s="18"/>
      <c r="HE6" s="18"/>
      <c r="HF6" s="18"/>
      <c r="HG6" s="18"/>
      <c r="HH6" s="18"/>
      <c r="HI6" s="18"/>
      <c r="HJ6" s="18"/>
      <c r="HK6" s="18"/>
      <c r="HL6" s="18"/>
      <c r="HM6" s="18"/>
      <c r="HN6" s="18"/>
      <c r="HO6" s="18"/>
      <c r="HP6" s="18"/>
      <c r="HQ6" s="18"/>
      <c r="HR6" s="18"/>
      <c r="HS6" s="18"/>
      <c r="HT6" s="18"/>
    </row>
    <row r="7" spans="1:228" s="21" customFormat="1" ht="47.25" customHeight="1" x14ac:dyDescent="0.2">
      <c r="A7" s="19"/>
      <c r="B7" s="61"/>
      <c r="C7" s="62"/>
      <c r="D7" s="62"/>
      <c r="E7" s="71"/>
      <c r="F7" s="63"/>
      <c r="G7" s="63"/>
      <c r="H7" s="53">
        <f t="shared" si="0"/>
        <v>0</v>
      </c>
      <c r="I7" s="71"/>
      <c r="J7" s="60"/>
      <c r="K7" s="63"/>
      <c r="L7" s="63">
        <f>Table24[[#This Row],[    Probabilidade inerente]]</f>
        <v>0</v>
      </c>
      <c r="M7" s="63">
        <f>Table24[[#This Row],[    Impacto inerente]]</f>
        <v>0</v>
      </c>
      <c r="N7" s="53">
        <f t="shared" si="1"/>
        <v>0</v>
      </c>
      <c r="O7" s="63">
        <f>Table24[[#This Row],[    Nível de risco inerente]]-(Table24[[#This Row],[    Status do tratamento]]*(Table24[[#This Row],[    Nível de risco inerente]]-Table24[[#This Row],[    Nível de risco almejado]]))</f>
        <v>0</v>
      </c>
      <c r="P7" s="67"/>
      <c r="Q7" s="68"/>
      <c r="R7" s="52"/>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c r="DI7" s="18"/>
      <c r="DJ7" s="18"/>
      <c r="DK7" s="18"/>
      <c r="DL7" s="18"/>
      <c r="DM7" s="18"/>
      <c r="DN7" s="18"/>
      <c r="DO7" s="18"/>
      <c r="DP7" s="18"/>
      <c r="DQ7" s="18"/>
      <c r="DR7" s="18"/>
      <c r="DS7" s="18"/>
      <c r="DT7" s="18"/>
      <c r="DU7" s="18"/>
      <c r="DV7" s="18"/>
      <c r="DW7" s="18"/>
      <c r="DX7" s="18"/>
      <c r="DY7" s="18"/>
      <c r="DZ7" s="18"/>
      <c r="EA7" s="18"/>
      <c r="EB7" s="18"/>
      <c r="EC7" s="18"/>
      <c r="ED7" s="18"/>
      <c r="EE7" s="18"/>
      <c r="EF7" s="18"/>
      <c r="EG7" s="18"/>
      <c r="EH7" s="18"/>
      <c r="EI7" s="18"/>
      <c r="EJ7" s="18"/>
      <c r="EK7" s="18"/>
      <c r="EL7" s="18"/>
      <c r="EM7" s="18"/>
      <c r="EN7" s="18"/>
      <c r="EO7" s="18"/>
      <c r="EP7" s="18"/>
      <c r="EQ7" s="18"/>
      <c r="ER7" s="18"/>
      <c r="ES7" s="18"/>
      <c r="ET7" s="18"/>
      <c r="EU7" s="18"/>
      <c r="EV7" s="18"/>
      <c r="EW7" s="18"/>
      <c r="EX7" s="18"/>
      <c r="EY7" s="18"/>
      <c r="EZ7" s="18"/>
      <c r="FA7" s="18"/>
      <c r="FB7" s="18"/>
      <c r="FC7" s="18"/>
      <c r="FD7" s="18"/>
      <c r="FE7" s="18"/>
      <c r="FF7" s="18"/>
      <c r="FG7" s="18"/>
      <c r="FH7" s="18"/>
      <c r="FI7" s="18"/>
      <c r="FJ7" s="18"/>
      <c r="FK7" s="18"/>
      <c r="FL7" s="18"/>
      <c r="FM7" s="18"/>
      <c r="FN7" s="18"/>
      <c r="FO7" s="18"/>
      <c r="FP7" s="18"/>
      <c r="FQ7" s="18"/>
      <c r="FR7" s="18"/>
      <c r="FS7" s="18"/>
      <c r="FT7" s="18"/>
      <c r="FU7" s="18"/>
      <c r="FV7" s="18"/>
      <c r="FW7" s="18"/>
      <c r="FX7" s="18"/>
      <c r="FY7" s="18"/>
      <c r="FZ7" s="18"/>
      <c r="GA7" s="18"/>
      <c r="GB7" s="18"/>
      <c r="GC7" s="18"/>
      <c r="GD7" s="18"/>
      <c r="GE7" s="18"/>
      <c r="GF7" s="18"/>
      <c r="GG7" s="18"/>
      <c r="GH7" s="18"/>
      <c r="GI7" s="18"/>
      <c r="GJ7" s="18"/>
      <c r="GK7" s="18"/>
      <c r="GL7" s="18"/>
      <c r="GM7" s="18"/>
      <c r="GN7" s="18"/>
      <c r="GO7" s="18"/>
      <c r="GP7" s="18"/>
      <c r="GQ7" s="18"/>
      <c r="GR7" s="18"/>
      <c r="GS7" s="18"/>
      <c r="GT7" s="18"/>
      <c r="GU7" s="18"/>
      <c r="GV7" s="18"/>
      <c r="GW7" s="18"/>
      <c r="GX7" s="18"/>
      <c r="GY7" s="18"/>
      <c r="GZ7" s="18"/>
      <c r="HA7" s="18"/>
      <c r="HB7" s="18"/>
      <c r="HC7" s="18"/>
      <c r="HD7" s="18"/>
      <c r="HE7" s="18"/>
      <c r="HF7" s="18"/>
      <c r="HG7" s="18"/>
      <c r="HH7" s="18"/>
      <c r="HI7" s="18"/>
      <c r="HJ7" s="18"/>
      <c r="HK7" s="18"/>
      <c r="HL7" s="18"/>
      <c r="HM7" s="18"/>
      <c r="HN7" s="18"/>
      <c r="HO7" s="18"/>
      <c r="HP7" s="18"/>
      <c r="HQ7" s="18"/>
      <c r="HR7" s="18"/>
      <c r="HS7" s="18"/>
      <c r="HT7" s="18"/>
    </row>
    <row r="8" spans="1:228" s="21" customFormat="1" ht="47.25" customHeight="1" x14ac:dyDescent="0.2">
      <c r="A8" s="19"/>
      <c r="B8" s="61"/>
      <c r="C8" s="62"/>
      <c r="D8" s="62"/>
      <c r="E8" s="71"/>
      <c r="F8" s="63"/>
      <c r="G8" s="63"/>
      <c r="H8" s="53">
        <f t="shared" si="0"/>
        <v>0</v>
      </c>
      <c r="I8" s="71"/>
      <c r="J8" s="60"/>
      <c r="K8" s="63"/>
      <c r="L8" s="63">
        <f>Table24[[#This Row],[    Probabilidade inerente]]</f>
        <v>0</v>
      </c>
      <c r="M8" s="63">
        <f>Table24[[#This Row],[    Impacto inerente]]</f>
        <v>0</v>
      </c>
      <c r="N8" s="53">
        <f t="shared" si="1"/>
        <v>0</v>
      </c>
      <c r="O8" s="63">
        <f>Table24[[#This Row],[    Nível de risco inerente]]-(Table24[[#This Row],[    Status do tratamento]]*(Table24[[#This Row],[    Nível de risco inerente]]-Table24[[#This Row],[    Nível de risco almejado]]))</f>
        <v>0</v>
      </c>
      <c r="P8" s="67"/>
      <c r="Q8" s="68"/>
      <c r="R8" s="52"/>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8"/>
      <c r="DI8" s="18"/>
      <c r="DJ8" s="18"/>
      <c r="DK8" s="18"/>
      <c r="DL8" s="18"/>
      <c r="DM8" s="18"/>
      <c r="DN8" s="18"/>
      <c r="DO8" s="18"/>
      <c r="DP8" s="18"/>
      <c r="DQ8" s="18"/>
      <c r="DR8" s="18"/>
      <c r="DS8" s="18"/>
      <c r="DT8" s="18"/>
      <c r="DU8" s="18"/>
      <c r="DV8" s="18"/>
      <c r="DW8" s="18"/>
      <c r="DX8" s="18"/>
      <c r="DY8" s="18"/>
      <c r="DZ8" s="18"/>
      <c r="EA8" s="18"/>
      <c r="EB8" s="18"/>
      <c r="EC8" s="18"/>
      <c r="ED8" s="18"/>
      <c r="EE8" s="18"/>
      <c r="EF8" s="18"/>
      <c r="EG8" s="18"/>
      <c r="EH8" s="18"/>
      <c r="EI8" s="18"/>
      <c r="EJ8" s="18"/>
      <c r="EK8" s="18"/>
      <c r="EL8" s="18"/>
      <c r="EM8" s="18"/>
      <c r="EN8" s="18"/>
      <c r="EO8" s="18"/>
      <c r="EP8" s="18"/>
      <c r="EQ8" s="18"/>
      <c r="ER8" s="18"/>
      <c r="ES8" s="18"/>
      <c r="ET8" s="18"/>
      <c r="EU8" s="18"/>
      <c r="EV8" s="18"/>
      <c r="EW8" s="18"/>
      <c r="EX8" s="18"/>
      <c r="EY8" s="18"/>
      <c r="EZ8" s="18"/>
      <c r="FA8" s="18"/>
      <c r="FB8" s="18"/>
      <c r="FC8" s="18"/>
      <c r="FD8" s="18"/>
      <c r="FE8" s="18"/>
      <c r="FF8" s="18"/>
      <c r="FG8" s="18"/>
      <c r="FH8" s="18"/>
      <c r="FI8" s="18"/>
      <c r="FJ8" s="18"/>
      <c r="FK8" s="18"/>
      <c r="FL8" s="18"/>
      <c r="FM8" s="18"/>
      <c r="FN8" s="18"/>
      <c r="FO8" s="18"/>
      <c r="FP8" s="18"/>
      <c r="FQ8" s="18"/>
      <c r="FR8" s="18"/>
      <c r="FS8" s="18"/>
      <c r="FT8" s="18"/>
      <c r="FU8" s="18"/>
      <c r="FV8" s="18"/>
      <c r="FW8" s="18"/>
      <c r="FX8" s="18"/>
      <c r="FY8" s="18"/>
      <c r="FZ8" s="18"/>
      <c r="GA8" s="18"/>
      <c r="GB8" s="18"/>
      <c r="GC8" s="18"/>
      <c r="GD8" s="18"/>
      <c r="GE8" s="18"/>
      <c r="GF8" s="18"/>
      <c r="GG8" s="18"/>
      <c r="GH8" s="18"/>
      <c r="GI8" s="18"/>
      <c r="GJ8" s="18"/>
      <c r="GK8" s="18"/>
      <c r="GL8" s="18"/>
      <c r="GM8" s="18"/>
      <c r="GN8" s="18"/>
      <c r="GO8" s="18"/>
      <c r="GP8" s="18"/>
      <c r="GQ8" s="18"/>
      <c r="GR8" s="18"/>
      <c r="GS8" s="18"/>
      <c r="GT8" s="18"/>
      <c r="GU8" s="18"/>
      <c r="GV8" s="18"/>
      <c r="GW8" s="18"/>
      <c r="GX8" s="18"/>
      <c r="GY8" s="18"/>
      <c r="GZ8" s="18"/>
      <c r="HA8" s="18"/>
      <c r="HB8" s="18"/>
      <c r="HC8" s="18"/>
      <c r="HD8" s="18"/>
      <c r="HE8" s="18"/>
      <c r="HF8" s="18"/>
      <c r="HG8" s="18"/>
      <c r="HH8" s="18"/>
      <c r="HI8" s="18"/>
      <c r="HJ8" s="18"/>
      <c r="HK8" s="18"/>
      <c r="HL8" s="18"/>
      <c r="HM8" s="18"/>
      <c r="HN8" s="18"/>
      <c r="HO8" s="18"/>
      <c r="HP8" s="18"/>
      <c r="HQ8" s="18"/>
      <c r="HR8" s="18"/>
      <c r="HS8" s="18"/>
      <c r="HT8" s="18"/>
    </row>
    <row r="9" spans="1:228" s="21" customFormat="1" ht="47.25" customHeight="1" x14ac:dyDescent="0.2">
      <c r="A9" s="19"/>
      <c r="B9" s="61"/>
      <c r="C9" s="62"/>
      <c r="D9" s="62"/>
      <c r="E9" s="71"/>
      <c r="F9" s="63"/>
      <c r="G9" s="63"/>
      <c r="H9" s="53">
        <f t="shared" si="0"/>
        <v>0</v>
      </c>
      <c r="I9" s="71"/>
      <c r="J9" s="60"/>
      <c r="K9" s="63"/>
      <c r="L9" s="63">
        <f>Table24[[#This Row],[    Probabilidade inerente]]</f>
        <v>0</v>
      </c>
      <c r="M9" s="63">
        <f>Table24[[#This Row],[    Impacto inerente]]</f>
        <v>0</v>
      </c>
      <c r="N9" s="53">
        <f t="shared" si="1"/>
        <v>0</v>
      </c>
      <c r="O9" s="63">
        <f>Table24[[#This Row],[    Nível de risco inerente]]-(Table24[[#This Row],[    Status do tratamento]]*(Table24[[#This Row],[    Nível de risco inerente]]-Table24[[#This Row],[    Nível de risco almejado]]))</f>
        <v>0</v>
      </c>
      <c r="P9" s="67"/>
      <c r="Q9" s="68"/>
      <c r="R9" s="52"/>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8"/>
      <c r="DI9" s="18"/>
      <c r="DJ9" s="18"/>
      <c r="DK9" s="18"/>
      <c r="DL9" s="18"/>
      <c r="DM9" s="18"/>
      <c r="DN9" s="18"/>
      <c r="DO9" s="18"/>
      <c r="DP9" s="18"/>
      <c r="DQ9" s="18"/>
      <c r="DR9" s="18"/>
      <c r="DS9" s="18"/>
      <c r="DT9" s="18"/>
      <c r="DU9" s="18"/>
      <c r="DV9" s="18"/>
      <c r="DW9" s="18"/>
      <c r="DX9" s="18"/>
      <c r="DY9" s="18"/>
      <c r="DZ9" s="18"/>
      <c r="EA9" s="18"/>
      <c r="EB9" s="18"/>
      <c r="EC9" s="18"/>
      <c r="ED9" s="18"/>
      <c r="EE9" s="18"/>
      <c r="EF9" s="18"/>
      <c r="EG9" s="18"/>
      <c r="EH9" s="18"/>
      <c r="EI9" s="18"/>
      <c r="EJ9" s="18"/>
      <c r="EK9" s="18"/>
      <c r="EL9" s="18"/>
      <c r="EM9" s="18"/>
      <c r="EN9" s="18"/>
      <c r="EO9" s="18"/>
      <c r="EP9" s="18"/>
      <c r="EQ9" s="18"/>
      <c r="ER9" s="18"/>
      <c r="ES9" s="18"/>
      <c r="ET9" s="18"/>
      <c r="EU9" s="18"/>
      <c r="EV9" s="18"/>
      <c r="EW9" s="18"/>
      <c r="EX9" s="18"/>
      <c r="EY9" s="18"/>
      <c r="EZ9" s="18"/>
      <c r="FA9" s="18"/>
      <c r="FB9" s="18"/>
      <c r="FC9" s="18"/>
      <c r="FD9" s="18"/>
      <c r="FE9" s="18"/>
      <c r="FF9" s="18"/>
      <c r="FG9" s="18"/>
      <c r="FH9" s="18"/>
      <c r="FI9" s="18"/>
      <c r="FJ9" s="18"/>
      <c r="FK9" s="18"/>
      <c r="FL9" s="18"/>
      <c r="FM9" s="18"/>
      <c r="FN9" s="18"/>
      <c r="FO9" s="18"/>
      <c r="FP9" s="18"/>
      <c r="FQ9" s="18"/>
      <c r="FR9" s="18"/>
      <c r="FS9" s="18"/>
      <c r="FT9" s="18"/>
      <c r="FU9" s="18"/>
      <c r="FV9" s="18"/>
      <c r="FW9" s="18"/>
      <c r="FX9" s="18"/>
      <c r="FY9" s="18"/>
      <c r="FZ9" s="18"/>
      <c r="GA9" s="18"/>
      <c r="GB9" s="18"/>
      <c r="GC9" s="18"/>
      <c r="GD9" s="18"/>
      <c r="GE9" s="18"/>
      <c r="GF9" s="18"/>
      <c r="GG9" s="18"/>
      <c r="GH9" s="18"/>
      <c r="GI9" s="18"/>
      <c r="GJ9" s="18"/>
      <c r="GK9" s="18"/>
      <c r="GL9" s="18"/>
      <c r="GM9" s="18"/>
      <c r="GN9" s="18"/>
      <c r="GO9" s="18"/>
      <c r="GP9" s="18"/>
      <c r="GQ9" s="18"/>
      <c r="GR9" s="18"/>
      <c r="GS9" s="18"/>
      <c r="GT9" s="18"/>
      <c r="GU9" s="18"/>
      <c r="GV9" s="18"/>
      <c r="GW9" s="18"/>
      <c r="GX9" s="18"/>
      <c r="GY9" s="18"/>
      <c r="GZ9" s="18"/>
      <c r="HA9" s="18"/>
      <c r="HB9" s="18"/>
      <c r="HC9" s="18"/>
      <c r="HD9" s="18"/>
      <c r="HE9" s="18"/>
      <c r="HF9" s="18"/>
      <c r="HG9" s="18"/>
      <c r="HH9" s="18"/>
      <c r="HI9" s="18"/>
      <c r="HJ9" s="18"/>
      <c r="HK9" s="18"/>
      <c r="HL9" s="18"/>
      <c r="HM9" s="18"/>
      <c r="HN9" s="18"/>
      <c r="HO9" s="18"/>
      <c r="HP9" s="18"/>
      <c r="HQ9" s="18"/>
      <c r="HR9" s="18"/>
      <c r="HS9" s="18"/>
      <c r="HT9" s="18"/>
    </row>
    <row r="10" spans="1:228" s="21" customFormat="1" ht="47.25" customHeight="1" x14ac:dyDescent="0.2">
      <c r="A10" s="19"/>
      <c r="B10" s="61"/>
      <c r="C10" s="62"/>
      <c r="D10" s="62"/>
      <c r="E10" s="71"/>
      <c r="F10" s="63"/>
      <c r="G10" s="63"/>
      <c r="H10" s="53">
        <f t="shared" si="0"/>
        <v>0</v>
      </c>
      <c r="I10" s="71"/>
      <c r="J10" s="60"/>
      <c r="K10" s="63"/>
      <c r="L10" s="63">
        <f>Table24[[#This Row],[    Probabilidade inerente]]</f>
        <v>0</v>
      </c>
      <c r="M10" s="63">
        <f>Table24[[#This Row],[    Impacto inerente]]</f>
        <v>0</v>
      </c>
      <c r="N10" s="53">
        <f t="shared" si="1"/>
        <v>0</v>
      </c>
      <c r="O10" s="63">
        <f>Table24[[#This Row],[    Nível de risco inerente]]-(Table24[[#This Row],[    Status do tratamento]]*(Table24[[#This Row],[    Nível de risco inerente]]-Table24[[#This Row],[    Nível de risco almejado]]))</f>
        <v>0</v>
      </c>
      <c r="P10" s="67"/>
      <c r="Q10" s="68"/>
      <c r="R10" s="52"/>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8"/>
      <c r="DI10" s="18"/>
      <c r="DJ10" s="18"/>
      <c r="DK10" s="18"/>
      <c r="DL10" s="18"/>
      <c r="DM10" s="18"/>
      <c r="DN10" s="18"/>
      <c r="DO10" s="18"/>
      <c r="DP10" s="18"/>
      <c r="DQ10" s="18"/>
      <c r="DR10" s="18"/>
      <c r="DS10" s="18"/>
      <c r="DT10" s="18"/>
      <c r="DU10" s="18"/>
      <c r="DV10" s="18"/>
      <c r="DW10" s="18"/>
      <c r="DX10" s="18"/>
      <c r="DY10" s="18"/>
      <c r="DZ10" s="18"/>
      <c r="EA10" s="18"/>
      <c r="EB10" s="18"/>
      <c r="EC10" s="18"/>
      <c r="ED10" s="18"/>
      <c r="EE10" s="18"/>
      <c r="EF10" s="18"/>
      <c r="EG10" s="18"/>
      <c r="EH10" s="18"/>
      <c r="EI10" s="18"/>
      <c r="EJ10" s="18"/>
      <c r="EK10" s="18"/>
      <c r="EL10" s="18"/>
      <c r="EM10" s="18"/>
      <c r="EN10" s="18"/>
      <c r="EO10" s="18"/>
      <c r="EP10" s="18"/>
      <c r="EQ10" s="18"/>
      <c r="ER10" s="18"/>
      <c r="ES10" s="18"/>
      <c r="ET10" s="18"/>
      <c r="EU10" s="18"/>
      <c r="EV10" s="18"/>
      <c r="EW10" s="18"/>
      <c r="EX10" s="18"/>
      <c r="EY10" s="18"/>
      <c r="EZ10" s="18"/>
      <c r="FA10" s="18"/>
      <c r="FB10" s="18"/>
      <c r="FC10" s="18"/>
      <c r="FD10" s="18"/>
      <c r="FE10" s="18"/>
      <c r="FF10" s="18"/>
      <c r="FG10" s="18"/>
      <c r="FH10" s="18"/>
      <c r="FI10" s="18"/>
      <c r="FJ10" s="18"/>
      <c r="FK10" s="18"/>
      <c r="FL10" s="18"/>
      <c r="FM10" s="18"/>
      <c r="FN10" s="18"/>
      <c r="FO10" s="18"/>
      <c r="FP10" s="18"/>
      <c r="FQ10" s="18"/>
      <c r="FR10" s="18"/>
      <c r="FS10" s="18"/>
      <c r="FT10" s="18"/>
      <c r="FU10" s="18"/>
      <c r="FV10" s="18"/>
      <c r="FW10" s="18"/>
      <c r="FX10" s="18"/>
      <c r="FY10" s="18"/>
      <c r="FZ10" s="18"/>
      <c r="GA10" s="18"/>
      <c r="GB10" s="18"/>
      <c r="GC10" s="18"/>
      <c r="GD10" s="18"/>
      <c r="GE10" s="18"/>
      <c r="GF10" s="18"/>
      <c r="GG10" s="18"/>
      <c r="GH10" s="18"/>
      <c r="GI10" s="18"/>
      <c r="GJ10" s="18"/>
      <c r="GK10" s="18"/>
      <c r="GL10" s="18"/>
      <c r="GM10" s="18"/>
      <c r="GN10" s="18"/>
      <c r="GO10" s="18"/>
      <c r="GP10" s="18"/>
      <c r="GQ10" s="18"/>
      <c r="GR10" s="18"/>
      <c r="GS10" s="18"/>
      <c r="GT10" s="18"/>
      <c r="GU10" s="18"/>
      <c r="GV10" s="18"/>
      <c r="GW10" s="18"/>
      <c r="GX10" s="18"/>
      <c r="GY10" s="18"/>
      <c r="GZ10" s="18"/>
      <c r="HA10" s="18"/>
      <c r="HB10" s="18"/>
      <c r="HC10" s="18"/>
      <c r="HD10" s="18"/>
      <c r="HE10" s="18"/>
      <c r="HF10" s="18"/>
      <c r="HG10" s="18"/>
      <c r="HH10" s="18"/>
      <c r="HI10" s="18"/>
      <c r="HJ10" s="18"/>
      <c r="HK10" s="18"/>
      <c r="HL10" s="18"/>
      <c r="HM10" s="18"/>
      <c r="HN10" s="18"/>
      <c r="HO10" s="18"/>
      <c r="HP10" s="18"/>
      <c r="HQ10" s="18"/>
      <c r="HR10" s="18"/>
      <c r="HS10" s="18"/>
      <c r="HT10" s="18"/>
    </row>
    <row r="11" spans="1:228" s="21" customFormat="1" ht="47.25" customHeight="1" x14ac:dyDescent="0.2">
      <c r="A11" s="19"/>
      <c r="B11" s="61"/>
      <c r="C11" s="62"/>
      <c r="D11" s="62"/>
      <c r="E11" s="71"/>
      <c r="F11" s="63"/>
      <c r="G11" s="63"/>
      <c r="H11" s="53">
        <f t="shared" si="0"/>
        <v>0</v>
      </c>
      <c r="I11" s="71"/>
      <c r="J11" s="60"/>
      <c r="K11" s="63"/>
      <c r="L11" s="63">
        <f>Table24[[#This Row],[    Probabilidade inerente]]</f>
        <v>0</v>
      </c>
      <c r="M11" s="63">
        <f>Table24[[#This Row],[    Impacto inerente]]</f>
        <v>0</v>
      </c>
      <c r="N11" s="53">
        <f t="shared" si="1"/>
        <v>0</v>
      </c>
      <c r="O11" s="63">
        <f>Table24[[#This Row],[    Nível de risco inerente]]-(Table24[[#This Row],[    Status do tratamento]]*(Table24[[#This Row],[    Nível de risco inerente]]-Table24[[#This Row],[    Nível de risco almejado]]))</f>
        <v>0</v>
      </c>
      <c r="P11" s="67"/>
      <c r="Q11" s="68"/>
      <c r="R11" s="52"/>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row>
    <row r="12" spans="1:228" s="21" customFormat="1" ht="32.25" customHeight="1" x14ac:dyDescent="0.2">
      <c r="A12" s="19"/>
      <c r="B12" s="61"/>
      <c r="C12" s="62"/>
      <c r="D12" s="62"/>
      <c r="E12" s="62"/>
      <c r="F12" s="63"/>
      <c r="G12" s="63"/>
      <c r="H12" s="53">
        <f t="shared" si="0"/>
        <v>0</v>
      </c>
      <c r="I12" s="62"/>
      <c r="J12" s="60"/>
      <c r="K12" s="63"/>
      <c r="L12" s="63">
        <f>Table24[[#This Row],[    Probabilidade inerente]]</f>
        <v>0</v>
      </c>
      <c r="M12" s="63">
        <f>Table24[[#This Row],[    Impacto inerente]]</f>
        <v>0</v>
      </c>
      <c r="N12" s="53">
        <f t="shared" si="1"/>
        <v>0</v>
      </c>
      <c r="O12" s="63">
        <f>Table24[[#This Row],[    Nível de risco inerente]]-(Table24[[#This Row],[    Status do tratamento]]*(Table24[[#This Row],[    Nível de risco inerente]]-Table24[[#This Row],[    Nível de risco almejado]]))</f>
        <v>0</v>
      </c>
      <c r="P12" s="67"/>
      <c r="Q12" s="68"/>
      <c r="R12" s="52"/>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c r="GZ12" s="18"/>
      <c r="HA12" s="18"/>
      <c r="HB12" s="18"/>
      <c r="HC12" s="18"/>
      <c r="HD12" s="18"/>
      <c r="HE12" s="18"/>
      <c r="HF12" s="18"/>
      <c r="HG12" s="18"/>
      <c r="HH12" s="18"/>
      <c r="HI12" s="18"/>
      <c r="HJ12" s="18"/>
      <c r="HK12" s="18"/>
      <c r="HL12" s="18"/>
      <c r="HM12" s="18"/>
      <c r="HN12" s="18"/>
      <c r="HO12" s="18"/>
      <c r="HP12" s="18"/>
      <c r="HQ12" s="18"/>
      <c r="HR12" s="18"/>
      <c r="HS12" s="18"/>
      <c r="HT12" s="18"/>
    </row>
    <row r="13" spans="1:228" s="21" customFormat="1" ht="32.25" customHeight="1" x14ac:dyDescent="0.2">
      <c r="A13" s="19"/>
      <c r="B13" s="61"/>
      <c r="C13" s="62"/>
      <c r="D13" s="62"/>
      <c r="E13" s="62"/>
      <c r="F13" s="63"/>
      <c r="G13" s="63"/>
      <c r="H13" s="53">
        <f t="shared" si="0"/>
        <v>0</v>
      </c>
      <c r="I13" s="62"/>
      <c r="J13" s="60"/>
      <c r="K13" s="63"/>
      <c r="L13" s="63">
        <f>Table24[[#This Row],[    Probabilidade inerente]]</f>
        <v>0</v>
      </c>
      <c r="M13" s="63">
        <f>Table24[[#This Row],[    Impacto inerente]]</f>
        <v>0</v>
      </c>
      <c r="N13" s="53">
        <f t="shared" si="1"/>
        <v>0</v>
      </c>
      <c r="O13" s="63">
        <f>Table24[[#This Row],[    Nível de risco inerente]]-(Table24[[#This Row],[    Status do tratamento]]*(Table24[[#This Row],[    Nível de risco inerente]]-Table24[[#This Row],[    Nível de risco almejado]]))</f>
        <v>0</v>
      </c>
      <c r="P13" s="67"/>
      <c r="Q13" s="68"/>
      <c r="R13" s="52"/>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c r="GZ13" s="18"/>
      <c r="HA13" s="18"/>
      <c r="HB13" s="18"/>
      <c r="HC13" s="18"/>
      <c r="HD13" s="18"/>
      <c r="HE13" s="18"/>
      <c r="HF13" s="18"/>
      <c r="HG13" s="18"/>
      <c r="HH13" s="18"/>
      <c r="HI13" s="18"/>
      <c r="HJ13" s="18"/>
      <c r="HK13" s="18"/>
      <c r="HL13" s="18"/>
      <c r="HM13" s="18"/>
      <c r="HN13" s="18"/>
      <c r="HO13" s="18"/>
      <c r="HP13" s="18"/>
      <c r="HQ13" s="18"/>
      <c r="HR13" s="18"/>
      <c r="HS13" s="18"/>
      <c r="HT13" s="18"/>
    </row>
    <row r="14" spans="1:228" s="21" customFormat="1" ht="32.25" customHeight="1" x14ac:dyDescent="0.2">
      <c r="A14" s="19"/>
      <c r="B14" s="61"/>
      <c r="C14" s="62"/>
      <c r="D14" s="62"/>
      <c r="E14" s="62"/>
      <c r="F14" s="63"/>
      <c r="G14" s="63"/>
      <c r="H14" s="53">
        <f t="shared" si="0"/>
        <v>0</v>
      </c>
      <c r="I14" s="62"/>
      <c r="J14" s="60"/>
      <c r="K14" s="63"/>
      <c r="L14" s="63">
        <f>Table24[[#This Row],[    Probabilidade inerente]]</f>
        <v>0</v>
      </c>
      <c r="M14" s="63">
        <f>Table24[[#This Row],[    Impacto inerente]]</f>
        <v>0</v>
      </c>
      <c r="N14" s="53">
        <f t="shared" si="1"/>
        <v>0</v>
      </c>
      <c r="O14" s="63">
        <f>Table24[[#This Row],[    Nível de risco inerente]]-(Table24[[#This Row],[    Status do tratamento]]*(Table24[[#This Row],[    Nível de risco inerente]]-Table24[[#This Row],[    Nível de risco almejado]]))</f>
        <v>0</v>
      </c>
      <c r="P14" s="67"/>
      <c r="Q14" s="68"/>
      <c r="R14" s="52"/>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c r="FM14" s="18"/>
      <c r="FN14" s="18"/>
      <c r="FO14" s="18"/>
      <c r="FP14" s="18"/>
      <c r="FQ14" s="18"/>
      <c r="FR14" s="18"/>
      <c r="FS14" s="18"/>
      <c r="FT14" s="18"/>
      <c r="FU14" s="18"/>
      <c r="FV14" s="18"/>
      <c r="FW14" s="18"/>
      <c r="FX14" s="18"/>
      <c r="FY14" s="18"/>
      <c r="FZ14" s="18"/>
      <c r="GA14" s="18"/>
      <c r="GB14" s="18"/>
      <c r="GC14" s="18"/>
      <c r="GD14" s="18"/>
      <c r="GE14" s="18"/>
      <c r="GF14" s="18"/>
      <c r="GG14" s="18"/>
      <c r="GH14" s="18"/>
      <c r="GI14" s="18"/>
      <c r="GJ14" s="18"/>
      <c r="GK14" s="18"/>
      <c r="GL14" s="18"/>
      <c r="GM14" s="18"/>
      <c r="GN14" s="18"/>
      <c r="GO14" s="18"/>
      <c r="GP14" s="18"/>
      <c r="GQ14" s="18"/>
      <c r="GR14" s="18"/>
      <c r="GS14" s="18"/>
      <c r="GT14" s="18"/>
      <c r="GU14" s="18"/>
      <c r="GV14" s="18"/>
      <c r="GW14" s="18"/>
      <c r="GX14" s="18"/>
      <c r="GY14" s="18"/>
      <c r="GZ14" s="18"/>
      <c r="HA14" s="18"/>
      <c r="HB14" s="18"/>
      <c r="HC14" s="18"/>
      <c r="HD14" s="18"/>
      <c r="HE14" s="18"/>
      <c r="HF14" s="18"/>
      <c r="HG14" s="18"/>
      <c r="HH14" s="18"/>
      <c r="HI14" s="18"/>
      <c r="HJ14" s="18"/>
      <c r="HK14" s="18"/>
      <c r="HL14" s="18"/>
      <c r="HM14" s="18"/>
      <c r="HN14" s="18"/>
      <c r="HO14" s="18"/>
      <c r="HP14" s="18"/>
      <c r="HQ14" s="18"/>
      <c r="HR14" s="18"/>
      <c r="HS14" s="18"/>
      <c r="HT14" s="18"/>
    </row>
    <row r="15" spans="1:228" s="21" customFormat="1" ht="32.25" customHeight="1" x14ac:dyDescent="0.2">
      <c r="A15" s="19"/>
      <c r="B15" s="61"/>
      <c r="C15" s="62"/>
      <c r="D15" s="62"/>
      <c r="E15" s="62"/>
      <c r="F15" s="63"/>
      <c r="G15" s="63"/>
      <c r="H15" s="53">
        <f t="shared" si="0"/>
        <v>0</v>
      </c>
      <c r="I15" s="62"/>
      <c r="J15" s="60"/>
      <c r="K15" s="63"/>
      <c r="L15" s="63">
        <f>Table24[[#This Row],[    Probabilidade inerente]]</f>
        <v>0</v>
      </c>
      <c r="M15" s="63">
        <f>Table24[[#This Row],[    Impacto inerente]]</f>
        <v>0</v>
      </c>
      <c r="N15" s="53">
        <f t="shared" si="1"/>
        <v>0</v>
      </c>
      <c r="O15" s="63">
        <f>Table24[[#This Row],[    Nível de risco inerente]]-(Table24[[#This Row],[    Status do tratamento]]*(Table24[[#This Row],[    Nível de risco inerente]]-Table24[[#This Row],[    Nível de risco almejado]]))</f>
        <v>0</v>
      </c>
      <c r="P15" s="67"/>
      <c r="Q15" s="68"/>
      <c r="R15" s="52"/>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18"/>
      <c r="GJ15" s="18"/>
      <c r="GK15" s="18"/>
      <c r="GL15" s="18"/>
      <c r="GM15" s="18"/>
      <c r="GN15" s="18"/>
      <c r="GO15" s="18"/>
      <c r="GP15" s="18"/>
      <c r="GQ15" s="18"/>
      <c r="GR15" s="18"/>
      <c r="GS15" s="18"/>
      <c r="GT15" s="18"/>
      <c r="GU15" s="18"/>
      <c r="GV15" s="18"/>
      <c r="GW15" s="18"/>
      <c r="GX15" s="18"/>
      <c r="GY15" s="18"/>
      <c r="GZ15" s="18"/>
      <c r="HA15" s="18"/>
      <c r="HB15" s="18"/>
      <c r="HC15" s="18"/>
      <c r="HD15" s="18"/>
      <c r="HE15" s="18"/>
      <c r="HF15" s="18"/>
      <c r="HG15" s="18"/>
      <c r="HH15" s="18"/>
      <c r="HI15" s="18"/>
      <c r="HJ15" s="18"/>
      <c r="HK15" s="18"/>
      <c r="HL15" s="18"/>
      <c r="HM15" s="18"/>
      <c r="HN15" s="18"/>
      <c r="HO15" s="18"/>
      <c r="HP15" s="18"/>
      <c r="HQ15" s="18"/>
      <c r="HR15" s="18"/>
      <c r="HS15" s="18"/>
      <c r="HT15" s="18"/>
    </row>
    <row r="16" spans="1:228" s="21" customFormat="1" ht="32.25" customHeight="1" x14ac:dyDescent="0.2">
      <c r="A16" s="19"/>
      <c r="B16" s="61"/>
      <c r="C16" s="62"/>
      <c r="D16" s="62"/>
      <c r="E16" s="62"/>
      <c r="F16" s="63"/>
      <c r="G16" s="63"/>
      <c r="H16" s="53">
        <f t="shared" si="0"/>
        <v>0</v>
      </c>
      <c r="I16" s="62"/>
      <c r="J16" s="60"/>
      <c r="K16" s="63"/>
      <c r="L16" s="63">
        <f>Table24[[#This Row],[    Probabilidade inerente]]</f>
        <v>0</v>
      </c>
      <c r="M16" s="63">
        <f>Table24[[#This Row],[    Impacto inerente]]</f>
        <v>0</v>
      </c>
      <c r="N16" s="53">
        <f t="shared" si="1"/>
        <v>0</v>
      </c>
      <c r="O16" s="63">
        <f>Table24[[#This Row],[    Nível de risco inerente]]-(Table24[[#This Row],[    Status do tratamento]]*(Table24[[#This Row],[    Nível de risco inerente]]-Table24[[#This Row],[    Nível de risco almejado]]))</f>
        <v>0</v>
      </c>
      <c r="P16" s="67"/>
      <c r="Q16" s="68"/>
      <c r="R16" s="52"/>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c r="HB16" s="18"/>
      <c r="HC16" s="18"/>
      <c r="HD16" s="18"/>
      <c r="HE16" s="18"/>
      <c r="HF16" s="18"/>
      <c r="HG16" s="18"/>
      <c r="HH16" s="18"/>
      <c r="HI16" s="18"/>
      <c r="HJ16" s="18"/>
      <c r="HK16" s="18"/>
      <c r="HL16" s="18"/>
      <c r="HM16" s="18"/>
      <c r="HN16" s="18"/>
      <c r="HO16" s="18"/>
      <c r="HP16" s="18"/>
      <c r="HQ16" s="18"/>
      <c r="HR16" s="18"/>
      <c r="HS16" s="18"/>
      <c r="HT16" s="18"/>
    </row>
    <row r="17" spans="1:228" s="21" customFormat="1" ht="32.25" customHeight="1" x14ac:dyDescent="0.2">
      <c r="A17" s="19"/>
      <c r="B17" s="61"/>
      <c r="C17" s="62"/>
      <c r="D17" s="62"/>
      <c r="E17" s="62"/>
      <c r="F17" s="63"/>
      <c r="G17" s="63"/>
      <c r="H17" s="53">
        <f t="shared" si="0"/>
        <v>0</v>
      </c>
      <c r="I17" s="62"/>
      <c r="J17" s="60"/>
      <c r="K17" s="63"/>
      <c r="L17" s="63">
        <f>Table24[[#This Row],[    Probabilidade inerente]]</f>
        <v>0</v>
      </c>
      <c r="M17" s="63">
        <f>Table24[[#This Row],[    Impacto inerente]]</f>
        <v>0</v>
      </c>
      <c r="N17" s="53">
        <f t="shared" si="1"/>
        <v>0</v>
      </c>
      <c r="O17" s="63">
        <f>Table24[[#This Row],[    Nível de risco inerente]]-(Table24[[#This Row],[    Status do tratamento]]*(Table24[[#This Row],[    Nível de risco inerente]]-Table24[[#This Row],[    Nível de risco almejado]]))</f>
        <v>0</v>
      </c>
      <c r="P17" s="67"/>
      <c r="Q17" s="68"/>
      <c r="R17" s="52"/>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c r="GQ17" s="18"/>
      <c r="GR17" s="18"/>
      <c r="GS17" s="18"/>
      <c r="GT17" s="18"/>
      <c r="GU17" s="18"/>
      <c r="GV17" s="18"/>
      <c r="GW17" s="18"/>
      <c r="GX17" s="18"/>
      <c r="GY17" s="18"/>
      <c r="GZ17" s="18"/>
      <c r="HA17" s="18"/>
      <c r="HB17" s="18"/>
      <c r="HC17" s="18"/>
      <c r="HD17" s="18"/>
      <c r="HE17" s="18"/>
      <c r="HF17" s="18"/>
      <c r="HG17" s="18"/>
      <c r="HH17" s="18"/>
      <c r="HI17" s="18"/>
      <c r="HJ17" s="18"/>
      <c r="HK17" s="18"/>
      <c r="HL17" s="18"/>
      <c r="HM17" s="18"/>
      <c r="HN17" s="18"/>
      <c r="HO17" s="18"/>
      <c r="HP17" s="18"/>
      <c r="HQ17" s="18"/>
      <c r="HR17" s="18"/>
      <c r="HS17" s="18"/>
      <c r="HT17" s="18"/>
    </row>
    <row r="18" spans="1:228" s="21" customFormat="1" ht="32.25" customHeight="1" x14ac:dyDescent="0.2">
      <c r="A18" s="19"/>
      <c r="B18" s="61"/>
      <c r="C18" s="62"/>
      <c r="D18" s="62"/>
      <c r="E18" s="62"/>
      <c r="F18" s="63"/>
      <c r="G18" s="63"/>
      <c r="H18" s="53">
        <f t="shared" si="0"/>
        <v>0</v>
      </c>
      <c r="I18" s="62"/>
      <c r="J18" s="60"/>
      <c r="K18" s="63"/>
      <c r="L18" s="63">
        <f>Table24[[#This Row],[    Probabilidade inerente]]</f>
        <v>0</v>
      </c>
      <c r="M18" s="63">
        <f>Table24[[#This Row],[    Impacto inerente]]</f>
        <v>0</v>
      </c>
      <c r="N18" s="53">
        <f t="shared" si="1"/>
        <v>0</v>
      </c>
      <c r="O18" s="63">
        <f>Table24[[#This Row],[    Nível de risco inerente]]-(Table24[[#This Row],[    Status do tratamento]]*(Table24[[#This Row],[    Nível de risco inerente]]-Table24[[#This Row],[    Nível de risco almejado]]))</f>
        <v>0</v>
      </c>
      <c r="P18" s="67"/>
      <c r="Q18" s="68"/>
      <c r="R18" s="52"/>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c r="FM18" s="18"/>
      <c r="FN18" s="18"/>
      <c r="FO18" s="18"/>
      <c r="FP18" s="18"/>
      <c r="FQ18" s="18"/>
      <c r="FR18" s="18"/>
      <c r="FS18" s="18"/>
      <c r="FT18" s="18"/>
      <c r="FU18" s="18"/>
      <c r="FV18" s="18"/>
      <c r="FW18" s="18"/>
      <c r="FX18" s="18"/>
      <c r="FY18" s="18"/>
      <c r="FZ18" s="18"/>
      <c r="GA18" s="18"/>
      <c r="GB18" s="18"/>
      <c r="GC18" s="18"/>
      <c r="GD18" s="18"/>
      <c r="GE18" s="18"/>
      <c r="GF18" s="18"/>
      <c r="GG18" s="18"/>
      <c r="GH18" s="18"/>
      <c r="GI18" s="18"/>
      <c r="GJ18" s="18"/>
      <c r="GK18" s="18"/>
      <c r="GL18" s="18"/>
      <c r="GM18" s="18"/>
      <c r="GN18" s="18"/>
      <c r="GO18" s="18"/>
      <c r="GP18" s="18"/>
      <c r="GQ18" s="18"/>
      <c r="GR18" s="18"/>
      <c r="GS18" s="18"/>
      <c r="GT18" s="18"/>
      <c r="GU18" s="18"/>
      <c r="GV18" s="18"/>
      <c r="GW18" s="18"/>
      <c r="GX18" s="18"/>
      <c r="GY18" s="18"/>
      <c r="GZ18" s="18"/>
      <c r="HA18" s="18"/>
      <c r="HB18" s="18"/>
      <c r="HC18" s="18"/>
      <c r="HD18" s="18"/>
      <c r="HE18" s="18"/>
      <c r="HF18" s="18"/>
      <c r="HG18" s="18"/>
      <c r="HH18" s="18"/>
      <c r="HI18" s="18"/>
      <c r="HJ18" s="18"/>
      <c r="HK18" s="18"/>
      <c r="HL18" s="18"/>
      <c r="HM18" s="18"/>
      <c r="HN18" s="18"/>
      <c r="HO18" s="18"/>
      <c r="HP18" s="18"/>
      <c r="HQ18" s="18"/>
      <c r="HR18" s="18"/>
      <c r="HS18" s="18"/>
      <c r="HT18" s="18"/>
    </row>
    <row r="19" spans="1:228" s="21" customFormat="1" ht="32.25" customHeight="1" x14ac:dyDescent="0.2">
      <c r="A19" s="19"/>
      <c r="B19" s="61"/>
      <c r="C19" s="62"/>
      <c r="D19" s="62"/>
      <c r="E19" s="62"/>
      <c r="F19" s="63"/>
      <c r="G19" s="63"/>
      <c r="H19" s="53">
        <f t="shared" si="0"/>
        <v>0</v>
      </c>
      <c r="I19" s="62"/>
      <c r="J19" s="60"/>
      <c r="K19" s="63"/>
      <c r="L19" s="63">
        <f>Table24[[#This Row],[    Probabilidade inerente]]</f>
        <v>0</v>
      </c>
      <c r="M19" s="63">
        <f>Table24[[#This Row],[    Impacto inerente]]</f>
        <v>0</v>
      </c>
      <c r="N19" s="53">
        <f t="shared" si="1"/>
        <v>0</v>
      </c>
      <c r="O19" s="63">
        <f>Table24[[#This Row],[    Nível de risco inerente]]-(Table24[[#This Row],[    Status do tratamento]]*(Table24[[#This Row],[    Nível de risco inerente]]-Table24[[#This Row],[    Nível de risco almejado]]))</f>
        <v>0</v>
      </c>
      <c r="P19" s="67"/>
      <c r="Q19" s="68"/>
      <c r="R19" s="52"/>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c r="FM19" s="18"/>
      <c r="FN19" s="18"/>
      <c r="FO19" s="18"/>
      <c r="FP19" s="18"/>
      <c r="FQ19" s="18"/>
      <c r="FR19" s="18"/>
      <c r="FS19" s="18"/>
      <c r="FT19" s="18"/>
      <c r="FU19" s="18"/>
      <c r="FV19" s="18"/>
      <c r="FW19" s="18"/>
      <c r="FX19" s="18"/>
      <c r="FY19" s="18"/>
      <c r="FZ19" s="18"/>
      <c r="GA19" s="18"/>
      <c r="GB19" s="18"/>
      <c r="GC19" s="18"/>
      <c r="GD19" s="18"/>
      <c r="GE19" s="18"/>
      <c r="GF19" s="18"/>
      <c r="GG19" s="18"/>
      <c r="GH19" s="18"/>
      <c r="GI19" s="18"/>
      <c r="GJ19" s="18"/>
      <c r="GK19" s="18"/>
      <c r="GL19" s="18"/>
      <c r="GM19" s="18"/>
      <c r="GN19" s="18"/>
      <c r="GO19" s="18"/>
      <c r="GP19" s="18"/>
      <c r="GQ19" s="18"/>
      <c r="GR19" s="18"/>
      <c r="GS19" s="18"/>
      <c r="GT19" s="18"/>
      <c r="GU19" s="18"/>
      <c r="GV19" s="18"/>
      <c r="GW19" s="18"/>
      <c r="GX19" s="18"/>
      <c r="GY19" s="18"/>
      <c r="GZ19" s="18"/>
      <c r="HA19" s="18"/>
      <c r="HB19" s="18"/>
      <c r="HC19" s="18"/>
      <c r="HD19" s="18"/>
      <c r="HE19" s="18"/>
      <c r="HF19" s="18"/>
      <c r="HG19" s="18"/>
      <c r="HH19" s="18"/>
      <c r="HI19" s="18"/>
      <c r="HJ19" s="18"/>
      <c r="HK19" s="18"/>
      <c r="HL19" s="18"/>
      <c r="HM19" s="18"/>
      <c r="HN19" s="18"/>
      <c r="HO19" s="18"/>
      <c r="HP19" s="18"/>
      <c r="HQ19" s="18"/>
      <c r="HR19" s="18"/>
      <c r="HS19" s="18"/>
      <c r="HT19" s="18"/>
    </row>
    <row r="20" spans="1:228" s="21" customFormat="1" ht="32.25" customHeight="1" x14ac:dyDescent="0.2">
      <c r="A20" s="19"/>
      <c r="B20" s="61"/>
      <c r="C20" s="62"/>
      <c r="D20" s="62"/>
      <c r="E20" s="62"/>
      <c r="F20" s="63"/>
      <c r="G20" s="63"/>
      <c r="H20" s="53">
        <f t="shared" si="0"/>
        <v>0</v>
      </c>
      <c r="I20" s="62"/>
      <c r="J20" s="60"/>
      <c r="K20" s="63"/>
      <c r="L20" s="63">
        <f>Table24[[#This Row],[    Probabilidade inerente]]</f>
        <v>0</v>
      </c>
      <c r="M20" s="63">
        <f>Table24[[#This Row],[    Impacto inerente]]</f>
        <v>0</v>
      </c>
      <c r="N20" s="53">
        <f t="shared" si="1"/>
        <v>0</v>
      </c>
      <c r="O20" s="63">
        <f>Table24[[#This Row],[    Nível de risco inerente]]-(Table24[[#This Row],[    Status do tratamento]]*(Table24[[#This Row],[    Nível de risco inerente]]-Table24[[#This Row],[    Nível de risco almejado]]))</f>
        <v>0</v>
      </c>
      <c r="P20" s="67"/>
      <c r="Q20" s="68"/>
      <c r="R20" s="52"/>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c r="FM20" s="18"/>
      <c r="FN20" s="18"/>
      <c r="FO20" s="18"/>
      <c r="FP20" s="18"/>
      <c r="FQ20" s="18"/>
      <c r="FR20" s="18"/>
      <c r="FS20" s="18"/>
      <c r="FT20" s="18"/>
      <c r="FU20" s="18"/>
      <c r="FV20" s="18"/>
      <c r="FW20" s="18"/>
      <c r="FX20" s="18"/>
      <c r="FY20" s="18"/>
      <c r="FZ20" s="18"/>
      <c r="GA20" s="18"/>
      <c r="GB20" s="18"/>
      <c r="GC20" s="18"/>
      <c r="GD20" s="18"/>
      <c r="GE20" s="18"/>
      <c r="GF20" s="18"/>
      <c r="GG20" s="18"/>
      <c r="GH20" s="18"/>
      <c r="GI20" s="18"/>
      <c r="GJ20" s="18"/>
      <c r="GK20" s="18"/>
      <c r="GL20" s="18"/>
      <c r="GM20" s="18"/>
      <c r="GN20" s="18"/>
      <c r="GO20" s="18"/>
      <c r="GP20" s="18"/>
      <c r="GQ20" s="18"/>
      <c r="GR20" s="18"/>
      <c r="GS20" s="18"/>
      <c r="GT20" s="18"/>
      <c r="GU20" s="18"/>
      <c r="GV20" s="18"/>
      <c r="GW20" s="18"/>
      <c r="GX20" s="18"/>
      <c r="GY20" s="18"/>
      <c r="GZ20" s="18"/>
      <c r="HA20" s="18"/>
      <c r="HB20" s="18"/>
      <c r="HC20" s="18"/>
      <c r="HD20" s="18"/>
      <c r="HE20" s="18"/>
      <c r="HF20" s="18"/>
      <c r="HG20" s="18"/>
      <c r="HH20" s="18"/>
      <c r="HI20" s="18"/>
      <c r="HJ20" s="18"/>
      <c r="HK20" s="18"/>
      <c r="HL20" s="18"/>
      <c r="HM20" s="18"/>
      <c r="HN20" s="18"/>
      <c r="HO20" s="18"/>
      <c r="HP20" s="18"/>
      <c r="HQ20" s="18"/>
      <c r="HR20" s="18"/>
      <c r="HS20" s="18"/>
      <c r="HT20" s="18"/>
    </row>
    <row r="21" spans="1:228" s="21" customFormat="1" ht="32.25" customHeight="1" x14ac:dyDescent="0.2">
      <c r="A21" s="19"/>
      <c r="B21" s="61"/>
      <c r="C21" s="62"/>
      <c r="D21" s="62"/>
      <c r="E21" s="62"/>
      <c r="F21" s="63"/>
      <c r="G21" s="63"/>
      <c r="H21" s="53">
        <f t="shared" si="0"/>
        <v>0</v>
      </c>
      <c r="I21" s="62"/>
      <c r="J21" s="60"/>
      <c r="K21" s="63"/>
      <c r="L21" s="63">
        <f>Table24[[#This Row],[    Probabilidade inerente]]</f>
        <v>0</v>
      </c>
      <c r="M21" s="63">
        <f>Table24[[#This Row],[    Impacto inerente]]</f>
        <v>0</v>
      </c>
      <c r="N21" s="53">
        <f t="shared" si="1"/>
        <v>0</v>
      </c>
      <c r="O21" s="63">
        <f>Table24[[#This Row],[    Nível de risco inerente]]-(Table24[[#This Row],[    Status do tratamento]]*(Table24[[#This Row],[    Nível de risco inerente]]-Table24[[#This Row],[    Nível de risco almejado]]))</f>
        <v>0</v>
      </c>
      <c r="P21" s="67"/>
      <c r="Q21" s="68"/>
      <c r="R21" s="52"/>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c r="FM21" s="18"/>
      <c r="FN21" s="18"/>
      <c r="FO21" s="18"/>
      <c r="FP21" s="18"/>
      <c r="FQ21" s="18"/>
      <c r="FR21" s="18"/>
      <c r="FS21" s="18"/>
      <c r="FT21" s="18"/>
      <c r="FU21" s="18"/>
      <c r="FV21" s="18"/>
      <c r="FW21" s="18"/>
      <c r="FX21" s="18"/>
      <c r="FY21" s="18"/>
      <c r="FZ21" s="18"/>
      <c r="GA21" s="18"/>
      <c r="GB21" s="18"/>
      <c r="GC21" s="18"/>
      <c r="GD21" s="18"/>
      <c r="GE21" s="18"/>
      <c r="GF21" s="18"/>
      <c r="GG21" s="18"/>
      <c r="GH21" s="18"/>
      <c r="GI21" s="18"/>
      <c r="GJ21" s="18"/>
      <c r="GK21" s="18"/>
      <c r="GL21" s="18"/>
      <c r="GM21" s="18"/>
      <c r="GN21" s="18"/>
      <c r="GO21" s="18"/>
      <c r="GP21" s="18"/>
      <c r="GQ21" s="18"/>
      <c r="GR21" s="18"/>
      <c r="GS21" s="18"/>
      <c r="GT21" s="18"/>
      <c r="GU21" s="18"/>
      <c r="GV21" s="18"/>
      <c r="GW21" s="18"/>
      <c r="GX21" s="18"/>
      <c r="GY21" s="18"/>
      <c r="GZ21" s="18"/>
      <c r="HA21" s="18"/>
      <c r="HB21" s="18"/>
      <c r="HC21" s="18"/>
      <c r="HD21" s="18"/>
      <c r="HE21" s="18"/>
      <c r="HF21" s="18"/>
      <c r="HG21" s="18"/>
      <c r="HH21" s="18"/>
      <c r="HI21" s="18"/>
      <c r="HJ21" s="18"/>
      <c r="HK21" s="18"/>
      <c r="HL21" s="18"/>
      <c r="HM21" s="18"/>
      <c r="HN21" s="18"/>
      <c r="HO21" s="18"/>
      <c r="HP21" s="18"/>
      <c r="HQ21" s="18"/>
      <c r="HR21" s="18"/>
      <c r="HS21" s="18"/>
      <c r="HT21" s="18"/>
    </row>
    <row r="22" spans="1:228" s="21" customFormat="1" ht="32.25" customHeight="1" x14ac:dyDescent="0.2">
      <c r="A22" s="19"/>
      <c r="B22" s="61"/>
      <c r="C22" s="62"/>
      <c r="D22" s="62"/>
      <c r="E22" s="62"/>
      <c r="F22" s="63"/>
      <c r="G22" s="63"/>
      <c r="H22" s="53">
        <f t="shared" si="0"/>
        <v>0</v>
      </c>
      <c r="I22" s="62"/>
      <c r="J22" s="60"/>
      <c r="K22" s="63"/>
      <c r="L22" s="63">
        <f>Table24[[#This Row],[    Probabilidade inerente]]</f>
        <v>0</v>
      </c>
      <c r="M22" s="63">
        <f>Table24[[#This Row],[    Impacto inerente]]</f>
        <v>0</v>
      </c>
      <c r="N22" s="53">
        <f t="shared" si="1"/>
        <v>0</v>
      </c>
      <c r="O22" s="63">
        <f>Table24[[#This Row],[    Nível de risco inerente]]-(Table24[[#This Row],[    Status do tratamento]]*(Table24[[#This Row],[    Nível de risco inerente]]-Table24[[#This Row],[    Nível de risco almejado]]))</f>
        <v>0</v>
      </c>
      <c r="P22" s="67"/>
      <c r="Q22" s="68"/>
      <c r="R22" s="52"/>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c r="FM22" s="18"/>
      <c r="FN22" s="18"/>
      <c r="FO22" s="18"/>
      <c r="FP22" s="18"/>
      <c r="FQ22" s="18"/>
      <c r="FR22" s="18"/>
      <c r="FS22" s="18"/>
      <c r="FT22" s="18"/>
      <c r="FU22" s="18"/>
      <c r="FV22" s="18"/>
      <c r="FW22" s="18"/>
      <c r="FX22" s="18"/>
      <c r="FY22" s="18"/>
      <c r="FZ22" s="18"/>
      <c r="GA22" s="18"/>
      <c r="GB22" s="18"/>
      <c r="GC22" s="18"/>
      <c r="GD22" s="18"/>
      <c r="GE22" s="18"/>
      <c r="GF22" s="18"/>
      <c r="GG22" s="18"/>
      <c r="GH22" s="18"/>
      <c r="GI22" s="18"/>
      <c r="GJ22" s="18"/>
      <c r="GK22" s="18"/>
      <c r="GL22" s="18"/>
      <c r="GM22" s="18"/>
      <c r="GN22" s="18"/>
      <c r="GO22" s="18"/>
      <c r="GP22" s="18"/>
      <c r="GQ22" s="18"/>
      <c r="GR22" s="18"/>
      <c r="GS22" s="18"/>
      <c r="GT22" s="18"/>
      <c r="GU22" s="18"/>
      <c r="GV22" s="18"/>
      <c r="GW22" s="18"/>
      <c r="GX22" s="18"/>
      <c r="GY22" s="18"/>
      <c r="GZ22" s="18"/>
      <c r="HA22" s="18"/>
      <c r="HB22" s="18"/>
      <c r="HC22" s="18"/>
      <c r="HD22" s="18"/>
      <c r="HE22" s="18"/>
      <c r="HF22" s="18"/>
      <c r="HG22" s="18"/>
      <c r="HH22" s="18"/>
      <c r="HI22" s="18"/>
      <c r="HJ22" s="18"/>
      <c r="HK22" s="18"/>
      <c r="HL22" s="18"/>
      <c r="HM22" s="18"/>
      <c r="HN22" s="18"/>
      <c r="HO22" s="18"/>
      <c r="HP22" s="18"/>
      <c r="HQ22" s="18"/>
      <c r="HR22" s="18"/>
      <c r="HS22" s="18"/>
      <c r="HT22" s="18"/>
    </row>
    <row r="23" spans="1:228" s="21" customFormat="1" ht="32.25" customHeight="1" x14ac:dyDescent="0.2">
      <c r="A23" s="19"/>
      <c r="B23" s="61"/>
      <c r="C23" s="62"/>
      <c r="D23" s="62"/>
      <c r="E23" s="62"/>
      <c r="F23" s="63"/>
      <c r="G23" s="63"/>
      <c r="H23" s="53">
        <f t="shared" si="0"/>
        <v>0</v>
      </c>
      <c r="I23" s="62"/>
      <c r="J23" s="60"/>
      <c r="K23" s="63"/>
      <c r="L23" s="63">
        <f>Table24[[#This Row],[    Probabilidade inerente]]</f>
        <v>0</v>
      </c>
      <c r="M23" s="63">
        <f>Table24[[#This Row],[    Impacto inerente]]</f>
        <v>0</v>
      </c>
      <c r="N23" s="53">
        <f t="shared" si="1"/>
        <v>0</v>
      </c>
      <c r="O23" s="63">
        <f>Table24[[#This Row],[    Nível de risco inerente]]-(Table24[[#This Row],[    Status do tratamento]]*(Table24[[#This Row],[    Nível de risco inerente]]-Table24[[#This Row],[    Nível de risco almejado]]))</f>
        <v>0</v>
      </c>
      <c r="P23" s="67"/>
      <c r="Q23" s="68"/>
      <c r="R23" s="52"/>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c r="FM23" s="18"/>
      <c r="FN23" s="18"/>
      <c r="FO23" s="18"/>
      <c r="FP23" s="18"/>
      <c r="FQ23" s="18"/>
      <c r="FR23" s="18"/>
      <c r="FS23" s="18"/>
      <c r="FT23" s="18"/>
      <c r="FU23" s="18"/>
      <c r="FV23" s="18"/>
      <c r="FW23" s="18"/>
      <c r="FX23" s="18"/>
      <c r="FY23" s="18"/>
      <c r="FZ23" s="18"/>
      <c r="GA23" s="18"/>
      <c r="GB23" s="18"/>
      <c r="GC23" s="18"/>
      <c r="GD23" s="18"/>
      <c r="GE23" s="18"/>
      <c r="GF23" s="18"/>
      <c r="GG23" s="18"/>
      <c r="GH23" s="18"/>
      <c r="GI23" s="18"/>
      <c r="GJ23" s="18"/>
      <c r="GK23" s="18"/>
      <c r="GL23" s="18"/>
      <c r="GM23" s="18"/>
      <c r="GN23" s="18"/>
      <c r="GO23" s="18"/>
      <c r="GP23" s="18"/>
      <c r="GQ23" s="18"/>
      <c r="GR23" s="18"/>
      <c r="GS23" s="18"/>
      <c r="GT23" s="18"/>
      <c r="GU23" s="18"/>
      <c r="GV23" s="18"/>
      <c r="GW23" s="18"/>
      <c r="GX23" s="18"/>
      <c r="GY23" s="18"/>
      <c r="GZ23" s="18"/>
      <c r="HA23" s="18"/>
      <c r="HB23" s="18"/>
      <c r="HC23" s="18"/>
      <c r="HD23" s="18"/>
      <c r="HE23" s="18"/>
      <c r="HF23" s="18"/>
      <c r="HG23" s="18"/>
      <c r="HH23" s="18"/>
      <c r="HI23" s="18"/>
      <c r="HJ23" s="18"/>
      <c r="HK23" s="18"/>
      <c r="HL23" s="18"/>
      <c r="HM23" s="18"/>
      <c r="HN23" s="18"/>
      <c r="HO23" s="18"/>
      <c r="HP23" s="18"/>
      <c r="HQ23" s="18"/>
      <c r="HR23" s="18"/>
      <c r="HS23" s="18"/>
      <c r="HT23" s="18"/>
    </row>
    <row r="24" spans="1:228" s="21" customFormat="1" ht="32.25" customHeight="1" x14ac:dyDescent="0.2">
      <c r="A24" s="19"/>
      <c r="B24" s="61"/>
      <c r="C24" s="62"/>
      <c r="D24" s="62"/>
      <c r="E24" s="62"/>
      <c r="F24" s="63"/>
      <c r="G24" s="63"/>
      <c r="H24" s="53">
        <f t="shared" si="0"/>
        <v>0</v>
      </c>
      <c r="I24" s="62"/>
      <c r="J24" s="60"/>
      <c r="K24" s="63"/>
      <c r="L24" s="63">
        <f>Table24[[#This Row],[    Probabilidade inerente]]</f>
        <v>0</v>
      </c>
      <c r="M24" s="63">
        <f>Table24[[#This Row],[    Impacto inerente]]</f>
        <v>0</v>
      </c>
      <c r="N24" s="53">
        <f t="shared" si="1"/>
        <v>0</v>
      </c>
      <c r="O24" s="63">
        <f>Table24[[#This Row],[    Nível de risco inerente]]-(Table24[[#This Row],[    Status do tratamento]]*(Table24[[#This Row],[    Nível de risco inerente]]-Table24[[#This Row],[    Nível de risco almejado]]))</f>
        <v>0</v>
      </c>
      <c r="P24" s="67"/>
      <c r="Q24" s="68"/>
      <c r="R24" s="52"/>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c r="FM24" s="18"/>
      <c r="FN24" s="18"/>
      <c r="FO24" s="18"/>
      <c r="FP24" s="18"/>
      <c r="FQ24" s="18"/>
      <c r="FR24" s="18"/>
      <c r="FS24" s="18"/>
      <c r="FT24" s="18"/>
      <c r="FU24" s="18"/>
      <c r="FV24" s="18"/>
      <c r="FW24" s="18"/>
      <c r="FX24" s="18"/>
      <c r="FY24" s="18"/>
      <c r="FZ24" s="18"/>
      <c r="GA24" s="18"/>
      <c r="GB24" s="18"/>
      <c r="GC24" s="18"/>
      <c r="GD24" s="18"/>
      <c r="GE24" s="18"/>
      <c r="GF24" s="18"/>
      <c r="GG24" s="18"/>
      <c r="GH24" s="18"/>
      <c r="GI24" s="18"/>
      <c r="GJ24" s="18"/>
      <c r="GK24" s="18"/>
      <c r="GL24" s="18"/>
      <c r="GM24" s="18"/>
      <c r="GN24" s="18"/>
      <c r="GO24" s="18"/>
      <c r="GP24" s="18"/>
      <c r="GQ24" s="18"/>
      <c r="GR24" s="18"/>
      <c r="GS24" s="18"/>
      <c r="GT24" s="18"/>
      <c r="GU24" s="18"/>
      <c r="GV24" s="18"/>
      <c r="GW24" s="18"/>
      <c r="GX24" s="18"/>
      <c r="GY24" s="18"/>
      <c r="GZ24" s="18"/>
      <c r="HA24" s="18"/>
      <c r="HB24" s="18"/>
      <c r="HC24" s="18"/>
      <c r="HD24" s="18"/>
      <c r="HE24" s="18"/>
      <c r="HF24" s="18"/>
      <c r="HG24" s="18"/>
      <c r="HH24" s="18"/>
      <c r="HI24" s="18"/>
      <c r="HJ24" s="18"/>
      <c r="HK24" s="18"/>
      <c r="HL24" s="18"/>
      <c r="HM24" s="18"/>
      <c r="HN24" s="18"/>
      <c r="HO24" s="18"/>
      <c r="HP24" s="18"/>
      <c r="HQ24" s="18"/>
      <c r="HR24" s="18"/>
      <c r="HS24" s="18"/>
      <c r="HT24" s="18"/>
    </row>
    <row r="25" spans="1:228" s="21" customFormat="1" ht="32.25" customHeight="1" x14ac:dyDescent="0.2">
      <c r="A25" s="19"/>
      <c r="B25" s="64"/>
      <c r="C25" s="65"/>
      <c r="D25" s="65"/>
      <c r="E25" s="65"/>
      <c r="F25" s="66"/>
      <c r="G25" s="66"/>
      <c r="H25" s="54">
        <f t="shared" si="0"/>
        <v>0</v>
      </c>
      <c r="I25" s="65"/>
      <c r="J25" s="60"/>
      <c r="K25" s="66"/>
      <c r="L25" s="63">
        <f>Table24[[#This Row],[    Probabilidade inerente]]</f>
        <v>0</v>
      </c>
      <c r="M25" s="63">
        <f>Table24[[#This Row],[    Impacto inerente]]</f>
        <v>0</v>
      </c>
      <c r="N25" s="54">
        <f t="shared" si="1"/>
        <v>0</v>
      </c>
      <c r="O25" s="63">
        <f>Table24[[#This Row],[    Nível de risco inerente]]-(Table24[[#This Row],[    Status do tratamento]]*(Table24[[#This Row],[    Nível de risco inerente]]-Table24[[#This Row],[    Nível de risco almejado]]))</f>
        <v>0</v>
      </c>
      <c r="P25" s="69"/>
      <c r="Q25" s="70"/>
      <c r="R25" s="52"/>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c r="FM25" s="18"/>
      <c r="FN25" s="18"/>
      <c r="FO25" s="18"/>
      <c r="FP25" s="18"/>
      <c r="FQ25" s="18"/>
      <c r="FR25" s="18"/>
      <c r="FS25" s="18"/>
      <c r="FT25" s="18"/>
      <c r="FU25" s="18"/>
      <c r="FV25" s="18"/>
      <c r="FW25" s="18"/>
      <c r="FX25" s="18"/>
      <c r="FY25" s="18"/>
      <c r="FZ25" s="18"/>
      <c r="GA25" s="18"/>
      <c r="GB25" s="18"/>
      <c r="GC25" s="18"/>
      <c r="GD25" s="18"/>
      <c r="GE25" s="18"/>
      <c r="GF25" s="18"/>
      <c r="GG25" s="18"/>
      <c r="GH25" s="18"/>
      <c r="GI25" s="18"/>
      <c r="GJ25" s="18"/>
      <c r="GK25" s="18"/>
      <c r="GL25" s="18"/>
      <c r="GM25" s="18"/>
      <c r="GN25" s="18"/>
      <c r="GO25" s="18"/>
      <c r="GP25" s="18"/>
      <c r="GQ25" s="18"/>
      <c r="GR25" s="18"/>
      <c r="GS25" s="18"/>
      <c r="GT25" s="18"/>
      <c r="GU25" s="18"/>
      <c r="GV25" s="18"/>
      <c r="GW25" s="18"/>
      <c r="GX25" s="18"/>
      <c r="GY25" s="18"/>
      <c r="GZ25" s="18"/>
      <c r="HA25" s="18"/>
      <c r="HB25" s="18"/>
      <c r="HC25" s="18"/>
      <c r="HD25" s="18"/>
      <c r="HE25" s="18"/>
      <c r="HF25" s="18"/>
      <c r="HG25" s="18"/>
      <c r="HH25" s="18"/>
      <c r="HI25" s="18"/>
      <c r="HJ25" s="18"/>
      <c r="HK25" s="18"/>
      <c r="HL25" s="18"/>
      <c r="HM25" s="18"/>
      <c r="HN25" s="18"/>
      <c r="HO25" s="18"/>
      <c r="HP25" s="18"/>
      <c r="HQ25" s="18"/>
      <c r="HR25" s="18"/>
      <c r="HS25" s="18"/>
      <c r="HT25" s="18"/>
    </row>
    <row r="26" spans="1:228" x14ac:dyDescent="0.2">
      <c r="A26" s="19"/>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c r="FM26" s="18"/>
      <c r="FN26" s="18"/>
      <c r="FO26" s="18"/>
      <c r="FP26" s="18"/>
      <c r="FQ26" s="18"/>
      <c r="FR26" s="18"/>
      <c r="FS26" s="18"/>
      <c r="FT26" s="18"/>
      <c r="FU26" s="18"/>
      <c r="FV26" s="18"/>
      <c r="FW26" s="18"/>
      <c r="FX26" s="18"/>
      <c r="FY26" s="18"/>
      <c r="FZ26" s="18"/>
      <c r="GA26" s="18"/>
      <c r="GB26" s="18"/>
      <c r="GC26" s="18"/>
      <c r="GD26" s="18"/>
      <c r="GE26" s="18"/>
      <c r="GF26" s="18"/>
      <c r="GG26" s="18"/>
      <c r="GH26" s="18"/>
      <c r="GI26" s="18"/>
      <c r="GJ26" s="18"/>
      <c r="GK26" s="18"/>
      <c r="GL26" s="18"/>
      <c r="GM26" s="18"/>
      <c r="GN26" s="18"/>
      <c r="GO26" s="18"/>
      <c r="GP26" s="18"/>
      <c r="GQ26" s="18"/>
      <c r="GR26" s="18"/>
      <c r="GS26" s="18"/>
      <c r="GT26" s="18"/>
      <c r="GU26" s="18"/>
      <c r="GV26" s="18"/>
      <c r="GW26" s="18"/>
      <c r="GX26" s="18"/>
      <c r="GY26" s="18"/>
      <c r="GZ26" s="18"/>
      <c r="HA26" s="18"/>
      <c r="HB26" s="18"/>
      <c r="HC26" s="18"/>
      <c r="HD26" s="18"/>
      <c r="HE26" s="18"/>
      <c r="HF26" s="18"/>
      <c r="HG26" s="18"/>
      <c r="HH26" s="18"/>
      <c r="HI26" s="18"/>
      <c r="HJ26" s="18"/>
      <c r="HK26" s="18"/>
      <c r="HL26" s="18"/>
      <c r="HM26" s="18"/>
      <c r="HN26" s="18"/>
      <c r="HO26" s="18"/>
      <c r="HP26" s="18"/>
      <c r="HQ26" s="18"/>
      <c r="HR26" s="18"/>
      <c r="HS26" s="18"/>
      <c r="HT26" s="18"/>
    </row>
    <row r="27" spans="1:228" x14ac:dyDescent="0.2">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c r="FM27" s="18"/>
      <c r="FN27" s="18"/>
      <c r="FO27" s="18"/>
      <c r="FP27" s="18"/>
      <c r="FQ27" s="18"/>
      <c r="FR27" s="18"/>
      <c r="FS27" s="18"/>
      <c r="FT27" s="18"/>
      <c r="FU27" s="18"/>
      <c r="FV27" s="18"/>
      <c r="FW27" s="18"/>
      <c r="FX27" s="18"/>
      <c r="FY27" s="18"/>
      <c r="FZ27" s="18"/>
      <c r="GA27" s="18"/>
      <c r="GB27" s="18"/>
      <c r="GC27" s="18"/>
      <c r="GD27" s="18"/>
      <c r="GE27" s="18"/>
      <c r="GF27" s="18"/>
      <c r="GG27" s="18"/>
      <c r="GH27" s="18"/>
      <c r="GI27" s="18"/>
      <c r="GJ27" s="18"/>
      <c r="GK27" s="18"/>
      <c r="GL27" s="18"/>
      <c r="GM27" s="18"/>
      <c r="GN27" s="18"/>
      <c r="GO27" s="18"/>
      <c r="GP27" s="18"/>
      <c r="GQ27" s="18"/>
      <c r="GR27" s="18"/>
      <c r="GS27" s="18"/>
      <c r="GT27" s="18"/>
      <c r="GU27" s="18"/>
      <c r="GV27" s="18"/>
      <c r="GW27" s="18"/>
      <c r="GX27" s="18"/>
      <c r="GY27" s="18"/>
      <c r="GZ27" s="18"/>
      <c r="HA27" s="18"/>
      <c r="HB27" s="18"/>
      <c r="HC27" s="18"/>
      <c r="HD27" s="18"/>
      <c r="HE27" s="18"/>
      <c r="HF27" s="18"/>
      <c r="HG27" s="18"/>
      <c r="HH27" s="18"/>
      <c r="HI27" s="18"/>
      <c r="HJ27" s="18"/>
      <c r="HK27" s="18"/>
      <c r="HL27" s="18"/>
      <c r="HM27" s="18"/>
      <c r="HN27" s="18"/>
      <c r="HO27" s="18"/>
      <c r="HP27" s="18"/>
      <c r="HQ27" s="18"/>
      <c r="HR27" s="18"/>
      <c r="HS27" s="18"/>
      <c r="HT27" s="18"/>
    </row>
    <row r="28" spans="1:228" x14ac:dyDescent="0.2">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c r="DR28" s="18"/>
      <c r="DS28" s="18"/>
      <c r="DT28" s="18"/>
      <c r="DU28" s="18"/>
      <c r="DV28" s="18"/>
      <c r="DW28" s="18"/>
      <c r="DX28" s="18"/>
      <c r="DY28" s="18"/>
      <c r="DZ28" s="18"/>
      <c r="EA28" s="18"/>
      <c r="EB28" s="18"/>
      <c r="EC28" s="18"/>
      <c r="ED28" s="18"/>
      <c r="EE28" s="18"/>
      <c r="EF28" s="18"/>
      <c r="EG28" s="18"/>
      <c r="EH28" s="18"/>
      <c r="EI28" s="18"/>
      <c r="EJ28" s="18"/>
      <c r="EK28" s="18"/>
      <c r="EL28" s="18"/>
      <c r="EM28" s="18"/>
      <c r="EN28" s="18"/>
      <c r="EO28" s="18"/>
      <c r="EP28" s="18"/>
      <c r="EQ28" s="18"/>
      <c r="ER28" s="18"/>
      <c r="ES28" s="18"/>
      <c r="ET28" s="18"/>
      <c r="EU28" s="18"/>
      <c r="EV28" s="18"/>
      <c r="EW28" s="18"/>
      <c r="EX28" s="18"/>
      <c r="EY28" s="18"/>
      <c r="EZ28" s="18"/>
      <c r="FA28" s="18"/>
      <c r="FB28" s="18"/>
      <c r="FC28" s="18"/>
      <c r="FD28" s="18"/>
      <c r="FE28" s="18"/>
      <c r="FF28" s="18"/>
      <c r="FG28" s="18"/>
      <c r="FH28" s="18"/>
      <c r="FI28" s="18"/>
      <c r="FJ28" s="18"/>
      <c r="FK28" s="18"/>
      <c r="FL28" s="18"/>
      <c r="FM28" s="18"/>
      <c r="FN28" s="18"/>
      <c r="FO28" s="18"/>
      <c r="FP28" s="18"/>
      <c r="FQ28" s="18"/>
      <c r="FR28" s="18"/>
      <c r="FS28" s="18"/>
      <c r="FT28" s="18"/>
      <c r="FU28" s="18"/>
      <c r="FV28" s="18"/>
      <c r="FW28" s="18"/>
      <c r="FX28" s="18"/>
      <c r="FY28" s="18"/>
      <c r="FZ28" s="18"/>
      <c r="GA28" s="18"/>
      <c r="GB28" s="18"/>
      <c r="GC28" s="18"/>
      <c r="GD28" s="18"/>
      <c r="GE28" s="18"/>
      <c r="GF28" s="18"/>
      <c r="GG28" s="18"/>
      <c r="GH28" s="18"/>
      <c r="GI28" s="18"/>
      <c r="GJ28" s="18"/>
      <c r="GK28" s="18"/>
      <c r="GL28" s="18"/>
      <c r="GM28" s="18"/>
      <c r="GN28" s="18"/>
      <c r="GO28" s="18"/>
      <c r="GP28" s="18"/>
      <c r="GQ28" s="18"/>
      <c r="GR28" s="18"/>
      <c r="GS28" s="18"/>
      <c r="GT28" s="18"/>
      <c r="GU28" s="18"/>
      <c r="GV28" s="18"/>
      <c r="GW28" s="18"/>
      <c r="GX28" s="18"/>
      <c r="GY28" s="18"/>
      <c r="GZ28" s="18"/>
      <c r="HA28" s="18"/>
      <c r="HB28" s="18"/>
      <c r="HC28" s="18"/>
      <c r="HD28" s="18"/>
      <c r="HE28" s="18"/>
      <c r="HF28" s="18"/>
      <c r="HG28" s="18"/>
      <c r="HH28" s="18"/>
      <c r="HI28" s="18"/>
      <c r="HJ28" s="18"/>
      <c r="HK28" s="18"/>
      <c r="HL28" s="18"/>
      <c r="HM28" s="18"/>
      <c r="HN28" s="18"/>
      <c r="HO28" s="18"/>
      <c r="HP28" s="18"/>
      <c r="HQ28" s="18"/>
      <c r="HR28" s="18"/>
      <c r="HS28" s="18"/>
      <c r="HT28" s="18"/>
    </row>
    <row r="29" spans="1:228" x14ac:dyDescent="0.2">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c r="DR29" s="18"/>
      <c r="DS29" s="18"/>
      <c r="DT29" s="18"/>
      <c r="DU29" s="18"/>
      <c r="DV29" s="18"/>
      <c r="DW29" s="18"/>
      <c r="DX29" s="18"/>
      <c r="DY29" s="18"/>
      <c r="DZ29" s="18"/>
      <c r="EA29" s="18"/>
      <c r="EB29" s="18"/>
      <c r="EC29" s="18"/>
      <c r="ED29" s="18"/>
      <c r="EE29" s="18"/>
      <c r="EF29" s="18"/>
      <c r="EG29" s="18"/>
      <c r="EH29" s="18"/>
      <c r="EI29" s="18"/>
      <c r="EJ29" s="18"/>
      <c r="EK29" s="18"/>
      <c r="EL29" s="18"/>
      <c r="EM29" s="18"/>
      <c r="EN29" s="18"/>
      <c r="EO29" s="18"/>
      <c r="EP29" s="18"/>
      <c r="EQ29" s="18"/>
      <c r="ER29" s="18"/>
      <c r="ES29" s="18"/>
      <c r="ET29" s="18"/>
      <c r="EU29" s="18"/>
      <c r="EV29" s="18"/>
      <c r="EW29" s="18"/>
      <c r="EX29" s="18"/>
      <c r="EY29" s="18"/>
      <c r="EZ29" s="18"/>
      <c r="FA29" s="18"/>
      <c r="FB29" s="18"/>
      <c r="FC29" s="18"/>
      <c r="FD29" s="18"/>
      <c r="FE29" s="18"/>
      <c r="FF29" s="18"/>
      <c r="FG29" s="18"/>
      <c r="FH29" s="18"/>
      <c r="FI29" s="18"/>
      <c r="FJ29" s="18"/>
      <c r="FK29" s="18"/>
      <c r="FL29" s="18"/>
      <c r="FM29" s="18"/>
      <c r="FN29" s="18"/>
      <c r="FO29" s="18"/>
      <c r="FP29" s="18"/>
      <c r="FQ29" s="18"/>
      <c r="FR29" s="18"/>
      <c r="FS29" s="18"/>
      <c r="FT29" s="18"/>
      <c r="FU29" s="18"/>
      <c r="FV29" s="18"/>
      <c r="FW29" s="18"/>
      <c r="FX29" s="18"/>
      <c r="FY29" s="18"/>
      <c r="FZ29" s="18"/>
      <c r="GA29" s="18"/>
      <c r="GB29" s="18"/>
      <c r="GC29" s="18"/>
      <c r="GD29" s="18"/>
      <c r="GE29" s="18"/>
      <c r="GF29" s="18"/>
      <c r="GG29" s="18"/>
      <c r="GH29" s="18"/>
      <c r="GI29" s="18"/>
      <c r="GJ29" s="18"/>
      <c r="GK29" s="18"/>
      <c r="GL29" s="18"/>
      <c r="GM29" s="18"/>
      <c r="GN29" s="18"/>
      <c r="GO29" s="18"/>
      <c r="GP29" s="18"/>
      <c r="GQ29" s="18"/>
      <c r="GR29" s="18"/>
      <c r="GS29" s="18"/>
      <c r="GT29" s="18"/>
      <c r="GU29" s="18"/>
      <c r="GV29" s="18"/>
      <c r="GW29" s="18"/>
      <c r="GX29" s="18"/>
      <c r="GY29" s="18"/>
      <c r="GZ29" s="18"/>
      <c r="HA29" s="18"/>
      <c r="HB29" s="18"/>
      <c r="HC29" s="18"/>
      <c r="HD29" s="18"/>
      <c r="HE29" s="18"/>
      <c r="HF29" s="18"/>
      <c r="HG29" s="18"/>
      <c r="HH29" s="18"/>
      <c r="HI29" s="18"/>
      <c r="HJ29" s="18"/>
      <c r="HK29" s="18"/>
      <c r="HL29" s="18"/>
      <c r="HM29" s="18"/>
      <c r="HN29" s="18"/>
      <c r="HO29" s="18"/>
      <c r="HP29" s="18"/>
      <c r="HQ29" s="18"/>
      <c r="HR29" s="18"/>
      <c r="HS29" s="18"/>
      <c r="HT29" s="18"/>
    </row>
    <row r="30" spans="1:228" x14ac:dyDescent="0.2">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8"/>
      <c r="DT30" s="18"/>
      <c r="DU30" s="18"/>
      <c r="DV30" s="18"/>
      <c r="DW30" s="18"/>
      <c r="DX30" s="18"/>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8"/>
      <c r="FD30" s="18"/>
      <c r="FE30" s="18"/>
      <c r="FF30" s="18"/>
      <c r="FG30" s="18"/>
      <c r="FH30" s="18"/>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8"/>
      <c r="GN30" s="18"/>
      <c r="GO30" s="18"/>
      <c r="GP30" s="18"/>
      <c r="GQ30" s="18"/>
      <c r="GR30" s="18"/>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row>
    <row r="31" spans="1:228" x14ac:dyDescent="0.2">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8"/>
      <c r="DT31" s="18"/>
      <c r="DU31" s="18"/>
      <c r="DV31" s="18"/>
      <c r="DW31" s="18"/>
      <c r="DX31" s="18"/>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8"/>
      <c r="FD31" s="18"/>
      <c r="FE31" s="18"/>
      <c r="FF31" s="18"/>
      <c r="FG31" s="18"/>
      <c r="FH31" s="18"/>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8"/>
      <c r="GN31" s="18"/>
      <c r="GO31" s="18"/>
      <c r="GP31" s="18"/>
      <c r="GQ31" s="18"/>
      <c r="GR31" s="18"/>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row>
    <row r="32" spans="1:228" x14ac:dyDescent="0.2">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8"/>
      <c r="DT32" s="18"/>
      <c r="DU32" s="18"/>
      <c r="DV32" s="18"/>
      <c r="DW32" s="18"/>
      <c r="DX32" s="18"/>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8"/>
      <c r="FD32" s="18"/>
      <c r="FE32" s="18"/>
      <c r="FF32" s="18"/>
      <c r="FG32" s="18"/>
      <c r="FH32" s="18"/>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8"/>
      <c r="GN32" s="18"/>
      <c r="GO32" s="18"/>
      <c r="GP32" s="18"/>
      <c r="GQ32" s="18"/>
      <c r="GR32" s="18"/>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row>
  </sheetData>
  <conditionalFormatting sqref="B3:B25">
    <cfRule type="duplicateValues" dxfId="48" priority="13"/>
  </conditionalFormatting>
  <conditionalFormatting sqref="N3:O25 H3:H25">
    <cfRule type="colorScale" priority="5">
      <colorScale>
        <cfvo type="percent" val="0"/>
        <cfvo type="percentile" val="50"/>
        <cfvo type="percent" val="100"/>
        <color rgb="FF0B6914"/>
        <color rgb="FFFFEB84"/>
        <color rgb="FFC00000"/>
      </colorScale>
    </cfRule>
  </conditionalFormatting>
  <conditionalFormatting sqref="L5:L25">
    <cfRule type="cellIs" dxfId="47" priority="4" operator="notEqual">
      <formula>F5</formula>
    </cfRule>
  </conditionalFormatting>
  <conditionalFormatting sqref="M5:M25">
    <cfRule type="cellIs" dxfId="46" priority="3" operator="notEqual">
      <formula>G5</formula>
    </cfRule>
  </conditionalFormatting>
  <conditionalFormatting sqref="L3:L4">
    <cfRule type="cellIs" dxfId="45" priority="2" operator="notEqual">
      <formula>F3</formula>
    </cfRule>
  </conditionalFormatting>
  <conditionalFormatting sqref="M3:M4">
    <cfRule type="cellIs" dxfId="44" priority="1" operator="notEqual">
      <formula>G3</formula>
    </cfRule>
  </conditionalFormatting>
  <hyperlinks>
    <hyperlink ref="B2" location="'Guidance on usage'!A1" display="ID" xr:uid="{00000000-0004-0000-0100-000000000000}"/>
    <hyperlink ref="C2" location="'Guidance on usage'!A1" display="Risk description" xr:uid="{00000000-0004-0000-0100-000001000000}"/>
    <hyperlink ref="D2" location="'Guidance on usage'!A1" display="Risk owner" xr:uid="{00000000-0004-0000-0100-000002000000}"/>
    <hyperlink ref="E2" location="'Guidance on usage'!A1" display="Impact description" xr:uid="{00000000-0004-0000-0100-000003000000}"/>
    <hyperlink ref="F2" location="'Guidance on scoring'!A1" display="Prob" xr:uid="{00000000-0004-0000-0100-000004000000}"/>
    <hyperlink ref="G2" location="'Guidance on scoring'!A1" display="Impact" xr:uid="{00000000-0004-0000-0100-000005000000}"/>
    <hyperlink ref="H2" location="'Guidance on scoring'!A1" display="Priority" xr:uid="{00000000-0004-0000-0100-000006000000}"/>
    <hyperlink ref="I2" location="'Guidance on usage'!A1" display="Mitigation description" xr:uid="{00000000-0004-0000-0100-000007000000}"/>
    <hyperlink ref="J2" location="'Guidance on usage'!A1" display="M-Cost" xr:uid="{00000000-0004-0000-0100-000008000000}"/>
    <hyperlink ref="L2" location="'Guidance on scoring'!A1" display="Prob" xr:uid="{00000000-0004-0000-0100-000009000000}"/>
    <hyperlink ref="M2" location="'Guidance on scoring'!A1" display="Impact" xr:uid="{00000000-0004-0000-0100-00000A000000}"/>
    <hyperlink ref="N2" location="'Guidance on scoring'!A1" display="Priority" xr:uid="{00000000-0004-0000-0100-00000B000000}"/>
    <hyperlink ref="Q2" location="'Guidance on usage'!A1" display="Date last reviewed/updated" xr:uid="{00000000-0004-0000-0100-00000C000000}"/>
    <hyperlink ref="K2" location="'Guidance on usage'!A1" display="M-Status" xr:uid="{00000000-0004-0000-0100-00000D000000}"/>
  </hyperlink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HT18"/>
  <sheetViews>
    <sheetView showGridLines="0" workbookViewId="0">
      <pane ySplit="2" topLeftCell="A5" activePane="bottomLeft" state="frozen"/>
      <selection pane="bottomLeft"/>
    </sheetView>
  </sheetViews>
  <sheetFormatPr defaultColWidth="9" defaultRowHeight="14.25" x14ac:dyDescent="0.2"/>
  <cols>
    <col min="1" max="1" width="1.625" customWidth="1"/>
    <col min="2" max="2" width="5.375" style="19" customWidth="1"/>
    <col min="3" max="3" width="24.125" customWidth="1"/>
    <col min="4" max="4" width="4.875" customWidth="1"/>
    <col min="5" max="5" width="27.25" customWidth="1"/>
    <col min="6" max="6" width="5.125" customWidth="1"/>
    <col min="7" max="7" width="5" customWidth="1"/>
    <col min="8" max="8" width="4.875" style="20" customWidth="1"/>
    <col min="9" max="9" width="25.25" customWidth="1"/>
    <col min="10" max="10" width="7.75" customWidth="1"/>
    <col min="11" max="14" width="5.125" customWidth="1"/>
    <col min="15" max="15" width="5.125" style="20" customWidth="1"/>
    <col min="16" max="16" width="75.625" customWidth="1"/>
    <col min="17" max="17" width="12.375" customWidth="1"/>
    <col min="18" max="18" width="0" hidden="1" customWidth="1"/>
  </cols>
  <sheetData>
    <row r="1" spans="1:228" s="18" customFormat="1" ht="8.25" customHeight="1" x14ac:dyDescent="0.2">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row>
    <row r="2" spans="1:228" s="22" customFormat="1" ht="152.25" x14ac:dyDescent="0.25">
      <c r="A2" s="16"/>
      <c r="B2" s="55" t="s">
        <v>38</v>
      </c>
      <c r="C2" s="56" t="s">
        <v>18</v>
      </c>
      <c r="D2" s="58" t="s">
        <v>40</v>
      </c>
      <c r="E2" s="56" t="s">
        <v>19</v>
      </c>
      <c r="F2" s="57" t="s">
        <v>21</v>
      </c>
      <c r="G2" s="57" t="s">
        <v>41</v>
      </c>
      <c r="H2" s="57" t="s">
        <v>42</v>
      </c>
      <c r="I2" s="56" t="s">
        <v>23</v>
      </c>
      <c r="J2" s="58" t="s">
        <v>24</v>
      </c>
      <c r="K2" s="58" t="s">
        <v>25</v>
      </c>
      <c r="L2" s="57" t="s">
        <v>46</v>
      </c>
      <c r="M2" s="57" t="s">
        <v>47</v>
      </c>
      <c r="N2" s="57" t="s">
        <v>44</v>
      </c>
      <c r="O2" s="57" t="s">
        <v>43</v>
      </c>
      <c r="P2" s="56" t="s">
        <v>16</v>
      </c>
      <c r="Q2" s="59" t="s">
        <v>45</v>
      </c>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row>
    <row r="3" spans="1:228" s="21" customFormat="1" ht="47.25" customHeight="1" x14ac:dyDescent="0.2">
      <c r="A3" s="19"/>
      <c r="B3" s="61" t="s">
        <v>13</v>
      </c>
      <c r="C3" s="62" t="s">
        <v>49</v>
      </c>
      <c r="D3" s="62" t="s">
        <v>3</v>
      </c>
      <c r="E3" s="71" t="s">
        <v>50</v>
      </c>
      <c r="F3" s="63">
        <v>0.88</v>
      </c>
      <c r="G3" s="63">
        <v>0.66</v>
      </c>
      <c r="H3" s="53">
        <f t="shared" ref="H3:H11" si="0">F3*G3</f>
        <v>0.58079999999999998</v>
      </c>
      <c r="I3" s="71" t="s">
        <v>51</v>
      </c>
      <c r="J3" s="60">
        <v>1000</v>
      </c>
      <c r="K3" s="63">
        <v>0.5</v>
      </c>
      <c r="L3" s="63">
        <v>0.87</v>
      </c>
      <c r="M3" s="63">
        <v>0.85</v>
      </c>
      <c r="N3" s="53">
        <f t="shared" ref="N3:N11" si="1">L3*M3</f>
        <v>0.73949999999999994</v>
      </c>
      <c r="O3" s="63">
        <f>Table2[[#This Row],[    Nível de risco inerente]]-(Table2[[#This Row],[    Status do tratamento]]*(Table2[[#This Row],[    Nível de risco inerente]]-Table2[[#This Row],[    Nível de risco almejado]]))</f>
        <v>0.66015000000000001</v>
      </c>
      <c r="P3" s="67" t="s">
        <v>48</v>
      </c>
      <c r="Q3" s="68">
        <v>44774</v>
      </c>
      <c r="R3" s="52"/>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row>
    <row r="4" spans="1:228" s="21" customFormat="1" ht="47.25" customHeight="1" x14ac:dyDescent="0.2">
      <c r="A4" s="19"/>
      <c r="B4" s="61" t="s">
        <v>7</v>
      </c>
      <c r="C4" s="62" t="s">
        <v>52</v>
      </c>
      <c r="D4" s="62" t="s">
        <v>3</v>
      </c>
      <c r="E4" s="71" t="s">
        <v>53</v>
      </c>
      <c r="F4" s="63">
        <v>0.75</v>
      </c>
      <c r="G4" s="63">
        <v>0.66</v>
      </c>
      <c r="H4" s="53">
        <f t="shared" si="0"/>
        <v>0.495</v>
      </c>
      <c r="I4" s="71" t="s">
        <v>54</v>
      </c>
      <c r="J4" s="60">
        <v>1000</v>
      </c>
      <c r="K4" s="63">
        <v>0.5</v>
      </c>
      <c r="L4" s="63">
        <v>0.1</v>
      </c>
      <c r="M4" s="63">
        <f>G4</f>
        <v>0.66</v>
      </c>
      <c r="N4" s="53">
        <f t="shared" si="1"/>
        <v>6.6000000000000003E-2</v>
      </c>
      <c r="O4" s="63">
        <f>Table2[[#This Row],[    Nível de risco inerente]]-(Table2[[#This Row],[    Status do tratamento]]*(Table2[[#This Row],[    Nível de risco inerente]]-Table2[[#This Row],[    Nível de risco almejado]]))</f>
        <v>0.28049999999999997</v>
      </c>
      <c r="P4" s="67" t="s">
        <v>48</v>
      </c>
      <c r="Q4" s="68">
        <v>44774</v>
      </c>
      <c r="R4" s="52"/>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row>
    <row r="5" spans="1:228" s="21" customFormat="1" ht="47.25" customHeight="1" x14ac:dyDescent="0.2">
      <c r="A5" s="19"/>
      <c r="B5" s="61" t="s">
        <v>11</v>
      </c>
      <c r="C5" s="62" t="s">
        <v>12</v>
      </c>
      <c r="D5" s="62" t="s">
        <v>3</v>
      </c>
      <c r="E5" s="71" t="s">
        <v>55</v>
      </c>
      <c r="F5" s="63">
        <v>0.95</v>
      </c>
      <c r="G5" s="63">
        <v>0.35</v>
      </c>
      <c r="H5" s="53">
        <f t="shared" si="0"/>
        <v>0.33249999999999996</v>
      </c>
      <c r="I5" s="71" t="s">
        <v>56</v>
      </c>
      <c r="J5" s="60">
        <v>450</v>
      </c>
      <c r="K5" s="63">
        <v>0.5</v>
      </c>
      <c r="L5" s="63">
        <v>0.25</v>
      </c>
      <c r="M5" s="63">
        <v>0.4</v>
      </c>
      <c r="N5" s="53">
        <f t="shared" si="1"/>
        <v>0.1</v>
      </c>
      <c r="O5" s="63">
        <f>Table2[[#This Row],[    Nível de risco inerente]]-(Table2[[#This Row],[    Status do tratamento]]*(Table2[[#This Row],[    Nível de risco inerente]]-Table2[[#This Row],[    Nível de risco almejado]]))</f>
        <v>0.21625</v>
      </c>
      <c r="P5" s="67" t="s">
        <v>48</v>
      </c>
      <c r="Q5" s="68">
        <v>44774</v>
      </c>
      <c r="R5" s="52"/>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row>
    <row r="6" spans="1:228" s="21" customFormat="1" ht="47.25" customHeight="1" x14ac:dyDescent="0.2">
      <c r="A6" s="19"/>
      <c r="B6" s="61" t="s">
        <v>8</v>
      </c>
      <c r="C6" s="62" t="s">
        <v>84</v>
      </c>
      <c r="D6" s="62" t="s">
        <v>3</v>
      </c>
      <c r="E6" s="71" t="s">
        <v>85</v>
      </c>
      <c r="F6" s="63">
        <v>0.75</v>
      </c>
      <c r="G6" s="63">
        <v>0.44</v>
      </c>
      <c r="H6" s="53">
        <f t="shared" si="0"/>
        <v>0.33</v>
      </c>
      <c r="I6" s="71" t="s">
        <v>86</v>
      </c>
      <c r="J6" s="60">
        <v>200</v>
      </c>
      <c r="K6" s="63">
        <v>0.9</v>
      </c>
      <c r="L6" s="63">
        <v>0.1</v>
      </c>
      <c r="M6" s="63">
        <f>G6</f>
        <v>0.44</v>
      </c>
      <c r="N6" s="53">
        <f t="shared" si="1"/>
        <v>4.4000000000000004E-2</v>
      </c>
      <c r="O6" s="63">
        <f>Table2[[#This Row],[    Nível de risco inerente]]-(Table2[[#This Row],[    Status do tratamento]]*(Table2[[#This Row],[    Nível de risco inerente]]-Table2[[#This Row],[    Nível de risco almejado]]))</f>
        <v>7.2599999999999998E-2</v>
      </c>
      <c r="P6" s="67" t="s">
        <v>48</v>
      </c>
      <c r="Q6" s="68">
        <v>44774</v>
      </c>
      <c r="R6" s="52"/>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18"/>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c r="DI6" s="18"/>
      <c r="DJ6" s="18"/>
      <c r="DK6" s="18"/>
      <c r="DL6" s="18"/>
      <c r="DM6" s="18"/>
      <c r="DN6" s="18"/>
      <c r="DO6" s="18"/>
      <c r="DP6" s="18"/>
      <c r="DQ6" s="18"/>
      <c r="DR6" s="18"/>
      <c r="DS6" s="18"/>
      <c r="DT6" s="18"/>
      <c r="DU6" s="18"/>
      <c r="DV6" s="18"/>
      <c r="DW6" s="18"/>
      <c r="DX6" s="18"/>
      <c r="DY6" s="18"/>
      <c r="DZ6" s="18"/>
      <c r="EA6" s="18"/>
      <c r="EB6" s="18"/>
      <c r="EC6" s="18"/>
      <c r="ED6" s="18"/>
      <c r="EE6" s="18"/>
      <c r="EF6" s="18"/>
      <c r="EG6" s="18"/>
      <c r="EH6" s="18"/>
      <c r="EI6" s="18"/>
      <c r="EJ6" s="18"/>
      <c r="EK6" s="18"/>
      <c r="EL6" s="18"/>
      <c r="EM6" s="18"/>
      <c r="EN6" s="18"/>
      <c r="EO6" s="18"/>
      <c r="EP6" s="18"/>
      <c r="EQ6" s="18"/>
      <c r="ER6" s="18"/>
      <c r="ES6" s="18"/>
      <c r="ET6" s="18"/>
      <c r="EU6" s="18"/>
      <c r="EV6" s="18"/>
      <c r="EW6" s="18"/>
      <c r="EX6" s="18"/>
      <c r="EY6" s="18"/>
      <c r="EZ6" s="18"/>
      <c r="FA6" s="18"/>
      <c r="FB6" s="18"/>
      <c r="FC6" s="18"/>
      <c r="FD6" s="18"/>
      <c r="FE6" s="18"/>
      <c r="FF6" s="18"/>
      <c r="FG6" s="18"/>
      <c r="FH6" s="18"/>
      <c r="FI6" s="18"/>
      <c r="FJ6" s="18"/>
      <c r="FK6" s="18"/>
      <c r="FL6" s="18"/>
      <c r="FM6" s="18"/>
      <c r="FN6" s="18"/>
      <c r="FO6" s="18"/>
      <c r="FP6" s="18"/>
      <c r="FQ6" s="18"/>
      <c r="FR6" s="18"/>
      <c r="FS6" s="18"/>
      <c r="FT6" s="18"/>
      <c r="FU6" s="18"/>
      <c r="FV6" s="18"/>
      <c r="FW6" s="18"/>
      <c r="FX6" s="18"/>
      <c r="FY6" s="18"/>
      <c r="FZ6" s="18"/>
      <c r="GA6" s="18"/>
      <c r="GB6" s="18"/>
      <c r="GC6" s="18"/>
      <c r="GD6" s="18"/>
      <c r="GE6" s="18"/>
      <c r="GF6" s="18"/>
      <c r="GG6" s="18"/>
      <c r="GH6" s="18"/>
      <c r="GI6" s="18"/>
      <c r="GJ6" s="18"/>
      <c r="GK6" s="18"/>
      <c r="GL6" s="18"/>
      <c r="GM6" s="18"/>
      <c r="GN6" s="18"/>
      <c r="GO6" s="18"/>
      <c r="GP6" s="18"/>
      <c r="GQ6" s="18"/>
      <c r="GR6" s="18"/>
      <c r="GS6" s="18"/>
      <c r="GT6" s="18"/>
      <c r="GU6" s="18"/>
      <c r="GV6" s="18"/>
      <c r="GW6" s="18"/>
      <c r="GX6" s="18"/>
      <c r="GY6" s="18"/>
      <c r="GZ6" s="18"/>
      <c r="HA6" s="18"/>
      <c r="HB6" s="18"/>
      <c r="HC6" s="18"/>
      <c r="HD6" s="18"/>
      <c r="HE6" s="18"/>
      <c r="HF6" s="18"/>
      <c r="HG6" s="18"/>
      <c r="HH6" s="18"/>
      <c r="HI6" s="18"/>
      <c r="HJ6" s="18"/>
      <c r="HK6" s="18"/>
      <c r="HL6" s="18"/>
      <c r="HM6" s="18"/>
      <c r="HN6" s="18"/>
      <c r="HO6" s="18"/>
      <c r="HP6" s="18"/>
      <c r="HQ6" s="18"/>
      <c r="HR6" s="18"/>
      <c r="HS6" s="18"/>
      <c r="HT6" s="18"/>
    </row>
    <row r="7" spans="1:228" s="21" customFormat="1" ht="47.25" customHeight="1" x14ac:dyDescent="0.2">
      <c r="A7" s="19"/>
      <c r="B7" s="61" t="s">
        <v>6</v>
      </c>
      <c r="C7" s="62" t="s">
        <v>83</v>
      </c>
      <c r="D7" s="62" t="s">
        <v>3</v>
      </c>
      <c r="E7" s="71" t="s">
        <v>87</v>
      </c>
      <c r="F7" s="63">
        <v>0.5</v>
      </c>
      <c r="G7" s="63">
        <v>0.2</v>
      </c>
      <c r="H7" s="53">
        <f t="shared" si="0"/>
        <v>0.1</v>
      </c>
      <c r="I7" s="71" t="s">
        <v>88</v>
      </c>
      <c r="J7" s="60">
        <v>500</v>
      </c>
      <c r="K7" s="63">
        <v>0.8</v>
      </c>
      <c r="L7" s="63">
        <f>F7</f>
        <v>0.5</v>
      </c>
      <c r="M7" s="63">
        <v>0.05</v>
      </c>
      <c r="N7" s="53">
        <f t="shared" si="1"/>
        <v>2.5000000000000001E-2</v>
      </c>
      <c r="O7" s="63">
        <f>Table2[[#This Row],[    Nível de risco inerente]]-(Table2[[#This Row],[    Status do tratamento]]*(Table2[[#This Row],[    Nível de risco inerente]]-Table2[[#This Row],[    Nível de risco almejado]]))</f>
        <v>3.9999999999999994E-2</v>
      </c>
      <c r="P7" s="67" t="s">
        <v>48</v>
      </c>
      <c r="Q7" s="68">
        <v>44774</v>
      </c>
      <c r="R7" s="52"/>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c r="DI7" s="18"/>
      <c r="DJ7" s="18"/>
      <c r="DK7" s="18"/>
      <c r="DL7" s="18"/>
      <c r="DM7" s="18"/>
      <c r="DN7" s="18"/>
      <c r="DO7" s="18"/>
      <c r="DP7" s="18"/>
      <c r="DQ7" s="18"/>
      <c r="DR7" s="18"/>
      <c r="DS7" s="18"/>
      <c r="DT7" s="18"/>
      <c r="DU7" s="18"/>
      <c r="DV7" s="18"/>
      <c r="DW7" s="18"/>
      <c r="DX7" s="18"/>
      <c r="DY7" s="18"/>
      <c r="DZ7" s="18"/>
      <c r="EA7" s="18"/>
      <c r="EB7" s="18"/>
      <c r="EC7" s="18"/>
      <c r="ED7" s="18"/>
      <c r="EE7" s="18"/>
      <c r="EF7" s="18"/>
      <c r="EG7" s="18"/>
      <c r="EH7" s="18"/>
      <c r="EI7" s="18"/>
      <c r="EJ7" s="18"/>
      <c r="EK7" s="18"/>
      <c r="EL7" s="18"/>
      <c r="EM7" s="18"/>
      <c r="EN7" s="18"/>
      <c r="EO7" s="18"/>
      <c r="EP7" s="18"/>
      <c r="EQ7" s="18"/>
      <c r="ER7" s="18"/>
      <c r="ES7" s="18"/>
      <c r="ET7" s="18"/>
      <c r="EU7" s="18"/>
      <c r="EV7" s="18"/>
      <c r="EW7" s="18"/>
      <c r="EX7" s="18"/>
      <c r="EY7" s="18"/>
      <c r="EZ7" s="18"/>
      <c r="FA7" s="18"/>
      <c r="FB7" s="18"/>
      <c r="FC7" s="18"/>
      <c r="FD7" s="18"/>
      <c r="FE7" s="18"/>
      <c r="FF7" s="18"/>
      <c r="FG7" s="18"/>
      <c r="FH7" s="18"/>
      <c r="FI7" s="18"/>
      <c r="FJ7" s="18"/>
      <c r="FK7" s="18"/>
      <c r="FL7" s="18"/>
      <c r="FM7" s="18"/>
      <c r="FN7" s="18"/>
      <c r="FO7" s="18"/>
      <c r="FP7" s="18"/>
      <c r="FQ7" s="18"/>
      <c r="FR7" s="18"/>
      <c r="FS7" s="18"/>
      <c r="FT7" s="18"/>
      <c r="FU7" s="18"/>
      <c r="FV7" s="18"/>
      <c r="FW7" s="18"/>
      <c r="FX7" s="18"/>
      <c r="FY7" s="18"/>
      <c r="FZ7" s="18"/>
      <c r="GA7" s="18"/>
      <c r="GB7" s="18"/>
      <c r="GC7" s="18"/>
      <c r="GD7" s="18"/>
      <c r="GE7" s="18"/>
      <c r="GF7" s="18"/>
      <c r="GG7" s="18"/>
      <c r="GH7" s="18"/>
      <c r="GI7" s="18"/>
      <c r="GJ7" s="18"/>
      <c r="GK7" s="18"/>
      <c r="GL7" s="18"/>
      <c r="GM7" s="18"/>
      <c r="GN7" s="18"/>
      <c r="GO7" s="18"/>
      <c r="GP7" s="18"/>
      <c r="GQ7" s="18"/>
      <c r="GR7" s="18"/>
      <c r="GS7" s="18"/>
      <c r="GT7" s="18"/>
      <c r="GU7" s="18"/>
      <c r="GV7" s="18"/>
      <c r="GW7" s="18"/>
      <c r="GX7" s="18"/>
      <c r="GY7" s="18"/>
      <c r="GZ7" s="18"/>
      <c r="HA7" s="18"/>
      <c r="HB7" s="18"/>
      <c r="HC7" s="18"/>
      <c r="HD7" s="18"/>
      <c r="HE7" s="18"/>
      <c r="HF7" s="18"/>
      <c r="HG7" s="18"/>
      <c r="HH7" s="18"/>
      <c r="HI7" s="18"/>
      <c r="HJ7" s="18"/>
      <c r="HK7" s="18"/>
      <c r="HL7" s="18"/>
      <c r="HM7" s="18"/>
      <c r="HN7" s="18"/>
      <c r="HO7" s="18"/>
      <c r="HP7" s="18"/>
      <c r="HQ7" s="18"/>
      <c r="HR7" s="18"/>
      <c r="HS7" s="18"/>
      <c r="HT7" s="18"/>
    </row>
    <row r="8" spans="1:228" s="21" customFormat="1" ht="47.25" customHeight="1" x14ac:dyDescent="0.2">
      <c r="A8" s="19"/>
      <c r="B8" s="61" t="s">
        <v>9</v>
      </c>
      <c r="C8" s="62" t="s">
        <v>10</v>
      </c>
      <c r="D8" s="62" t="s">
        <v>3</v>
      </c>
      <c r="E8" s="71" t="s">
        <v>89</v>
      </c>
      <c r="F8" s="63">
        <v>1</v>
      </c>
      <c r="G8" s="63">
        <v>0.15</v>
      </c>
      <c r="H8" s="53">
        <f t="shared" si="0"/>
        <v>0.15</v>
      </c>
      <c r="I8" s="71" t="s">
        <v>90</v>
      </c>
      <c r="J8" s="60">
        <v>300</v>
      </c>
      <c r="K8" s="63">
        <v>0.9</v>
      </c>
      <c r="L8" s="63">
        <v>0.05</v>
      </c>
      <c r="M8" s="63">
        <v>0.1</v>
      </c>
      <c r="N8" s="53">
        <f t="shared" si="1"/>
        <v>5.000000000000001E-3</v>
      </c>
      <c r="O8" s="63">
        <f>Table2[[#This Row],[    Nível de risco inerente]]-(Table2[[#This Row],[    Status do tratamento]]*(Table2[[#This Row],[    Nível de risco inerente]]-Table2[[#This Row],[    Nível de risco almejado]]))</f>
        <v>1.949999999999999E-2</v>
      </c>
      <c r="P8" s="67" t="s">
        <v>48</v>
      </c>
      <c r="Q8" s="68">
        <v>44774</v>
      </c>
      <c r="R8" s="52"/>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8"/>
      <c r="DI8" s="18"/>
      <c r="DJ8" s="18"/>
      <c r="DK8" s="18"/>
      <c r="DL8" s="18"/>
      <c r="DM8" s="18"/>
      <c r="DN8" s="18"/>
      <c r="DO8" s="18"/>
      <c r="DP8" s="18"/>
      <c r="DQ8" s="18"/>
      <c r="DR8" s="18"/>
      <c r="DS8" s="18"/>
      <c r="DT8" s="18"/>
      <c r="DU8" s="18"/>
      <c r="DV8" s="18"/>
      <c r="DW8" s="18"/>
      <c r="DX8" s="18"/>
      <c r="DY8" s="18"/>
      <c r="DZ8" s="18"/>
      <c r="EA8" s="18"/>
      <c r="EB8" s="18"/>
      <c r="EC8" s="18"/>
      <c r="ED8" s="18"/>
      <c r="EE8" s="18"/>
      <c r="EF8" s="18"/>
      <c r="EG8" s="18"/>
      <c r="EH8" s="18"/>
      <c r="EI8" s="18"/>
      <c r="EJ8" s="18"/>
      <c r="EK8" s="18"/>
      <c r="EL8" s="18"/>
      <c r="EM8" s="18"/>
      <c r="EN8" s="18"/>
      <c r="EO8" s="18"/>
      <c r="EP8" s="18"/>
      <c r="EQ8" s="18"/>
      <c r="ER8" s="18"/>
      <c r="ES8" s="18"/>
      <c r="ET8" s="18"/>
      <c r="EU8" s="18"/>
      <c r="EV8" s="18"/>
      <c r="EW8" s="18"/>
      <c r="EX8" s="18"/>
      <c r="EY8" s="18"/>
      <c r="EZ8" s="18"/>
      <c r="FA8" s="18"/>
      <c r="FB8" s="18"/>
      <c r="FC8" s="18"/>
      <c r="FD8" s="18"/>
      <c r="FE8" s="18"/>
      <c r="FF8" s="18"/>
      <c r="FG8" s="18"/>
      <c r="FH8" s="18"/>
      <c r="FI8" s="18"/>
      <c r="FJ8" s="18"/>
      <c r="FK8" s="18"/>
      <c r="FL8" s="18"/>
      <c r="FM8" s="18"/>
      <c r="FN8" s="18"/>
      <c r="FO8" s="18"/>
      <c r="FP8" s="18"/>
      <c r="FQ8" s="18"/>
      <c r="FR8" s="18"/>
      <c r="FS8" s="18"/>
      <c r="FT8" s="18"/>
      <c r="FU8" s="18"/>
      <c r="FV8" s="18"/>
      <c r="FW8" s="18"/>
      <c r="FX8" s="18"/>
      <c r="FY8" s="18"/>
      <c r="FZ8" s="18"/>
      <c r="GA8" s="18"/>
      <c r="GB8" s="18"/>
      <c r="GC8" s="18"/>
      <c r="GD8" s="18"/>
      <c r="GE8" s="18"/>
      <c r="GF8" s="18"/>
      <c r="GG8" s="18"/>
      <c r="GH8" s="18"/>
      <c r="GI8" s="18"/>
      <c r="GJ8" s="18"/>
      <c r="GK8" s="18"/>
      <c r="GL8" s="18"/>
      <c r="GM8" s="18"/>
      <c r="GN8" s="18"/>
      <c r="GO8" s="18"/>
      <c r="GP8" s="18"/>
      <c r="GQ8" s="18"/>
      <c r="GR8" s="18"/>
      <c r="GS8" s="18"/>
      <c r="GT8" s="18"/>
      <c r="GU8" s="18"/>
      <c r="GV8" s="18"/>
      <c r="GW8" s="18"/>
      <c r="GX8" s="18"/>
      <c r="GY8" s="18"/>
      <c r="GZ8" s="18"/>
      <c r="HA8" s="18"/>
      <c r="HB8" s="18"/>
      <c r="HC8" s="18"/>
      <c r="HD8" s="18"/>
      <c r="HE8" s="18"/>
      <c r="HF8" s="18"/>
      <c r="HG8" s="18"/>
      <c r="HH8" s="18"/>
      <c r="HI8" s="18"/>
      <c r="HJ8" s="18"/>
      <c r="HK8" s="18"/>
      <c r="HL8" s="18"/>
      <c r="HM8" s="18"/>
      <c r="HN8" s="18"/>
      <c r="HO8" s="18"/>
      <c r="HP8" s="18"/>
      <c r="HQ8" s="18"/>
      <c r="HR8" s="18"/>
      <c r="HS8" s="18"/>
      <c r="HT8" s="18"/>
    </row>
    <row r="9" spans="1:228" s="21" customFormat="1" ht="47.25" customHeight="1" x14ac:dyDescent="0.2">
      <c r="A9" s="19"/>
      <c r="B9" s="61" t="s">
        <v>5</v>
      </c>
      <c r="C9" s="62" t="s">
        <v>92</v>
      </c>
      <c r="D9" s="62" t="s">
        <v>3</v>
      </c>
      <c r="E9" s="71" t="s">
        <v>93</v>
      </c>
      <c r="F9" s="63">
        <v>0.25</v>
      </c>
      <c r="G9" s="63">
        <v>0.05</v>
      </c>
      <c r="H9" s="53">
        <f t="shared" si="0"/>
        <v>1.2500000000000001E-2</v>
      </c>
      <c r="I9" s="71" t="s">
        <v>94</v>
      </c>
      <c r="J9" s="60">
        <v>5000</v>
      </c>
      <c r="K9" s="63">
        <v>0</v>
      </c>
      <c r="L9" s="63">
        <f>F9</f>
        <v>0.25</v>
      </c>
      <c r="M9" s="63">
        <v>0.01</v>
      </c>
      <c r="N9" s="53">
        <f t="shared" si="1"/>
        <v>2.5000000000000001E-3</v>
      </c>
      <c r="O9" s="63">
        <f>Table2[[#This Row],[    Nível de risco inerente]]-(Table2[[#This Row],[    Status do tratamento]]*(Table2[[#This Row],[    Nível de risco inerente]]-Table2[[#This Row],[    Nível de risco almejado]]))</f>
        <v>1.2500000000000001E-2</v>
      </c>
      <c r="P9" s="67" t="s">
        <v>48</v>
      </c>
      <c r="Q9" s="68">
        <v>44774</v>
      </c>
      <c r="R9" s="52"/>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c r="CC9" s="18"/>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8"/>
      <c r="DI9" s="18"/>
      <c r="DJ9" s="18"/>
      <c r="DK9" s="18"/>
      <c r="DL9" s="18"/>
      <c r="DM9" s="18"/>
      <c r="DN9" s="18"/>
      <c r="DO9" s="18"/>
      <c r="DP9" s="18"/>
      <c r="DQ9" s="18"/>
      <c r="DR9" s="18"/>
      <c r="DS9" s="18"/>
      <c r="DT9" s="18"/>
      <c r="DU9" s="18"/>
      <c r="DV9" s="18"/>
      <c r="DW9" s="18"/>
      <c r="DX9" s="18"/>
      <c r="DY9" s="18"/>
      <c r="DZ9" s="18"/>
      <c r="EA9" s="18"/>
      <c r="EB9" s="18"/>
      <c r="EC9" s="18"/>
      <c r="ED9" s="18"/>
      <c r="EE9" s="18"/>
      <c r="EF9" s="18"/>
      <c r="EG9" s="18"/>
      <c r="EH9" s="18"/>
      <c r="EI9" s="18"/>
      <c r="EJ9" s="18"/>
      <c r="EK9" s="18"/>
      <c r="EL9" s="18"/>
      <c r="EM9" s="18"/>
      <c r="EN9" s="18"/>
      <c r="EO9" s="18"/>
      <c r="EP9" s="18"/>
      <c r="EQ9" s="18"/>
      <c r="ER9" s="18"/>
      <c r="ES9" s="18"/>
      <c r="ET9" s="18"/>
      <c r="EU9" s="18"/>
      <c r="EV9" s="18"/>
      <c r="EW9" s="18"/>
      <c r="EX9" s="18"/>
      <c r="EY9" s="18"/>
      <c r="EZ9" s="18"/>
      <c r="FA9" s="18"/>
      <c r="FB9" s="18"/>
      <c r="FC9" s="18"/>
      <c r="FD9" s="18"/>
      <c r="FE9" s="18"/>
      <c r="FF9" s="18"/>
      <c r="FG9" s="18"/>
      <c r="FH9" s="18"/>
      <c r="FI9" s="18"/>
      <c r="FJ9" s="18"/>
      <c r="FK9" s="18"/>
      <c r="FL9" s="18"/>
      <c r="FM9" s="18"/>
      <c r="FN9" s="18"/>
      <c r="FO9" s="18"/>
      <c r="FP9" s="18"/>
      <c r="FQ9" s="18"/>
      <c r="FR9" s="18"/>
      <c r="FS9" s="18"/>
      <c r="FT9" s="18"/>
      <c r="FU9" s="18"/>
      <c r="FV9" s="18"/>
      <c r="FW9" s="18"/>
      <c r="FX9" s="18"/>
      <c r="FY9" s="18"/>
      <c r="FZ9" s="18"/>
      <c r="GA9" s="18"/>
      <c r="GB9" s="18"/>
      <c r="GC9" s="18"/>
      <c r="GD9" s="18"/>
      <c r="GE9" s="18"/>
      <c r="GF9" s="18"/>
      <c r="GG9" s="18"/>
      <c r="GH9" s="18"/>
      <c r="GI9" s="18"/>
      <c r="GJ9" s="18"/>
      <c r="GK9" s="18"/>
      <c r="GL9" s="18"/>
      <c r="GM9" s="18"/>
      <c r="GN9" s="18"/>
      <c r="GO9" s="18"/>
      <c r="GP9" s="18"/>
      <c r="GQ9" s="18"/>
      <c r="GR9" s="18"/>
      <c r="GS9" s="18"/>
      <c r="GT9" s="18"/>
      <c r="GU9" s="18"/>
      <c r="GV9" s="18"/>
      <c r="GW9" s="18"/>
      <c r="GX9" s="18"/>
      <c r="GY9" s="18"/>
      <c r="GZ9" s="18"/>
      <c r="HA9" s="18"/>
      <c r="HB9" s="18"/>
      <c r="HC9" s="18"/>
      <c r="HD9" s="18"/>
      <c r="HE9" s="18"/>
      <c r="HF9" s="18"/>
      <c r="HG9" s="18"/>
      <c r="HH9" s="18"/>
      <c r="HI9" s="18"/>
      <c r="HJ9" s="18"/>
      <c r="HK9" s="18"/>
      <c r="HL9" s="18"/>
      <c r="HM9" s="18"/>
      <c r="HN9" s="18"/>
      <c r="HO9" s="18"/>
      <c r="HP9" s="18"/>
      <c r="HQ9" s="18"/>
      <c r="HR9" s="18"/>
      <c r="HS9" s="18"/>
      <c r="HT9" s="18"/>
    </row>
    <row r="10" spans="1:228" s="21" customFormat="1" ht="47.25" customHeight="1" x14ac:dyDescent="0.2">
      <c r="A10" s="19"/>
      <c r="B10" s="61" t="s">
        <v>2</v>
      </c>
      <c r="C10" s="62" t="s">
        <v>95</v>
      </c>
      <c r="D10" s="62" t="s">
        <v>3</v>
      </c>
      <c r="E10" s="71" t="s">
        <v>96</v>
      </c>
      <c r="F10" s="63">
        <v>0.01</v>
      </c>
      <c r="G10" s="63">
        <v>1</v>
      </c>
      <c r="H10" s="53">
        <f t="shared" si="0"/>
        <v>0.01</v>
      </c>
      <c r="I10" s="71" t="s">
        <v>97</v>
      </c>
      <c r="J10" s="60">
        <v>10000</v>
      </c>
      <c r="K10" s="63">
        <v>0</v>
      </c>
      <c r="L10" s="63">
        <v>0</v>
      </c>
      <c r="M10" s="63">
        <v>0.2</v>
      </c>
      <c r="N10" s="53">
        <f t="shared" si="1"/>
        <v>0</v>
      </c>
      <c r="O10" s="63">
        <f>Table2[[#This Row],[    Nível de risco inerente]]-(Table2[[#This Row],[    Status do tratamento]]*(Table2[[#This Row],[    Nível de risco inerente]]-Table2[[#This Row],[    Nível de risco almejado]]))</f>
        <v>0.01</v>
      </c>
      <c r="P10" s="67" t="s">
        <v>48</v>
      </c>
      <c r="Q10" s="68">
        <v>44774</v>
      </c>
      <c r="R10" s="52"/>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8"/>
      <c r="DI10" s="18"/>
      <c r="DJ10" s="18"/>
      <c r="DK10" s="18"/>
      <c r="DL10" s="18"/>
      <c r="DM10" s="18"/>
      <c r="DN10" s="18"/>
      <c r="DO10" s="18"/>
      <c r="DP10" s="18"/>
      <c r="DQ10" s="18"/>
      <c r="DR10" s="18"/>
      <c r="DS10" s="18"/>
      <c r="DT10" s="18"/>
      <c r="DU10" s="18"/>
      <c r="DV10" s="18"/>
      <c r="DW10" s="18"/>
      <c r="DX10" s="18"/>
      <c r="DY10" s="18"/>
      <c r="DZ10" s="18"/>
      <c r="EA10" s="18"/>
      <c r="EB10" s="18"/>
      <c r="EC10" s="18"/>
      <c r="ED10" s="18"/>
      <c r="EE10" s="18"/>
      <c r="EF10" s="18"/>
      <c r="EG10" s="18"/>
      <c r="EH10" s="18"/>
      <c r="EI10" s="18"/>
      <c r="EJ10" s="18"/>
      <c r="EK10" s="18"/>
      <c r="EL10" s="18"/>
      <c r="EM10" s="18"/>
      <c r="EN10" s="18"/>
      <c r="EO10" s="18"/>
      <c r="EP10" s="18"/>
      <c r="EQ10" s="18"/>
      <c r="ER10" s="18"/>
      <c r="ES10" s="18"/>
      <c r="ET10" s="18"/>
      <c r="EU10" s="18"/>
      <c r="EV10" s="18"/>
      <c r="EW10" s="18"/>
      <c r="EX10" s="18"/>
      <c r="EY10" s="18"/>
      <c r="EZ10" s="18"/>
      <c r="FA10" s="18"/>
      <c r="FB10" s="18"/>
      <c r="FC10" s="18"/>
      <c r="FD10" s="18"/>
      <c r="FE10" s="18"/>
      <c r="FF10" s="18"/>
      <c r="FG10" s="18"/>
      <c r="FH10" s="18"/>
      <c r="FI10" s="18"/>
      <c r="FJ10" s="18"/>
      <c r="FK10" s="18"/>
      <c r="FL10" s="18"/>
      <c r="FM10" s="18"/>
      <c r="FN10" s="18"/>
      <c r="FO10" s="18"/>
      <c r="FP10" s="18"/>
      <c r="FQ10" s="18"/>
      <c r="FR10" s="18"/>
      <c r="FS10" s="18"/>
      <c r="FT10" s="18"/>
      <c r="FU10" s="18"/>
      <c r="FV10" s="18"/>
      <c r="FW10" s="18"/>
      <c r="FX10" s="18"/>
      <c r="FY10" s="18"/>
      <c r="FZ10" s="18"/>
      <c r="GA10" s="18"/>
      <c r="GB10" s="18"/>
      <c r="GC10" s="18"/>
      <c r="GD10" s="18"/>
      <c r="GE10" s="18"/>
      <c r="GF10" s="18"/>
      <c r="GG10" s="18"/>
      <c r="GH10" s="18"/>
      <c r="GI10" s="18"/>
      <c r="GJ10" s="18"/>
      <c r="GK10" s="18"/>
      <c r="GL10" s="18"/>
      <c r="GM10" s="18"/>
      <c r="GN10" s="18"/>
      <c r="GO10" s="18"/>
      <c r="GP10" s="18"/>
      <c r="GQ10" s="18"/>
      <c r="GR10" s="18"/>
      <c r="GS10" s="18"/>
      <c r="GT10" s="18"/>
      <c r="GU10" s="18"/>
      <c r="GV10" s="18"/>
      <c r="GW10" s="18"/>
      <c r="GX10" s="18"/>
      <c r="GY10" s="18"/>
      <c r="GZ10" s="18"/>
      <c r="HA10" s="18"/>
      <c r="HB10" s="18"/>
      <c r="HC10" s="18"/>
      <c r="HD10" s="18"/>
      <c r="HE10" s="18"/>
      <c r="HF10" s="18"/>
      <c r="HG10" s="18"/>
      <c r="HH10" s="18"/>
      <c r="HI10" s="18"/>
      <c r="HJ10" s="18"/>
      <c r="HK10" s="18"/>
      <c r="HL10" s="18"/>
      <c r="HM10" s="18"/>
      <c r="HN10" s="18"/>
      <c r="HO10" s="18"/>
      <c r="HP10" s="18"/>
      <c r="HQ10" s="18"/>
      <c r="HR10" s="18"/>
      <c r="HS10" s="18"/>
      <c r="HT10" s="18"/>
    </row>
    <row r="11" spans="1:228" s="21" customFormat="1" ht="47.25" customHeight="1" x14ac:dyDescent="0.2">
      <c r="A11" s="19"/>
      <c r="B11" s="61" t="s">
        <v>4</v>
      </c>
      <c r="C11" s="62" t="s">
        <v>98</v>
      </c>
      <c r="D11" s="62" t="s">
        <v>3</v>
      </c>
      <c r="E11" s="71" t="s">
        <v>99</v>
      </c>
      <c r="F11" s="63">
        <v>0.99</v>
      </c>
      <c r="G11" s="63">
        <v>1</v>
      </c>
      <c r="H11" s="53">
        <f t="shared" si="0"/>
        <v>0.99</v>
      </c>
      <c r="I11" s="71" t="s">
        <v>100</v>
      </c>
      <c r="J11" s="60">
        <v>0</v>
      </c>
      <c r="K11" s="63">
        <v>1</v>
      </c>
      <c r="L11" s="63">
        <v>0</v>
      </c>
      <c r="M11" s="63">
        <v>1</v>
      </c>
      <c r="N11" s="53">
        <f t="shared" si="1"/>
        <v>0</v>
      </c>
      <c r="O11" s="63">
        <f>Table2[[#This Row],[    Nível de risco inerente]]-(Table2[[#This Row],[    Status do tratamento]]*(Table2[[#This Row],[    Nível de risco inerente]]-Table2[[#This Row],[    Nível de risco almejado]]))</f>
        <v>0</v>
      </c>
      <c r="P11" s="67" t="s">
        <v>48</v>
      </c>
      <c r="Q11" s="68">
        <v>44774</v>
      </c>
      <c r="R11" s="52"/>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row>
    <row r="12" spans="1:228" x14ac:dyDescent="0.2">
      <c r="A12" s="19"/>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8"/>
      <c r="FK12" s="18"/>
      <c r="FL12" s="18"/>
      <c r="FM12" s="18"/>
      <c r="FN12" s="18"/>
      <c r="FO12" s="18"/>
      <c r="FP12" s="18"/>
      <c r="FQ12" s="18"/>
      <c r="FR12" s="18"/>
      <c r="FS12" s="18"/>
      <c r="FT12" s="18"/>
      <c r="FU12" s="18"/>
      <c r="FV12" s="18"/>
      <c r="FW12" s="18"/>
      <c r="FX12" s="18"/>
      <c r="FY12" s="18"/>
      <c r="FZ12" s="18"/>
      <c r="GA12" s="18"/>
      <c r="GB12" s="18"/>
      <c r="GC12" s="18"/>
      <c r="GD12" s="18"/>
      <c r="GE12" s="18"/>
      <c r="GF12" s="18"/>
      <c r="GG12" s="18"/>
      <c r="GH12" s="18"/>
      <c r="GI12" s="18"/>
      <c r="GJ12" s="18"/>
      <c r="GK12" s="18"/>
      <c r="GL12" s="18"/>
      <c r="GM12" s="18"/>
      <c r="GN12" s="18"/>
      <c r="GO12" s="18"/>
      <c r="GP12" s="18"/>
      <c r="GQ12" s="18"/>
      <c r="GR12" s="18"/>
      <c r="GS12" s="18"/>
      <c r="GT12" s="18"/>
      <c r="GU12" s="18"/>
      <c r="GV12" s="18"/>
      <c r="GW12" s="18"/>
      <c r="GX12" s="18"/>
      <c r="GY12" s="18"/>
      <c r="GZ12" s="18"/>
      <c r="HA12" s="18"/>
      <c r="HB12" s="18"/>
      <c r="HC12" s="18"/>
      <c r="HD12" s="18"/>
      <c r="HE12" s="18"/>
      <c r="HF12" s="18"/>
      <c r="HG12" s="18"/>
      <c r="HH12" s="18"/>
      <c r="HI12" s="18"/>
      <c r="HJ12" s="18"/>
      <c r="HK12" s="18"/>
      <c r="HL12" s="18"/>
      <c r="HM12" s="18"/>
      <c r="HN12" s="18"/>
      <c r="HO12" s="18"/>
      <c r="HP12" s="18"/>
      <c r="HQ12" s="18"/>
      <c r="HR12" s="18"/>
      <c r="HS12" s="18"/>
      <c r="HT12" s="18"/>
    </row>
    <row r="13" spans="1:228" x14ac:dyDescent="0.2">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8"/>
      <c r="FK13" s="18"/>
      <c r="FL13" s="18"/>
      <c r="FM13" s="18"/>
      <c r="FN13" s="18"/>
      <c r="FO13" s="18"/>
      <c r="FP13" s="18"/>
      <c r="FQ13" s="18"/>
      <c r="FR13" s="18"/>
      <c r="FS13" s="18"/>
      <c r="FT13" s="18"/>
      <c r="FU13" s="18"/>
      <c r="FV13" s="18"/>
      <c r="FW13" s="18"/>
      <c r="FX13" s="18"/>
      <c r="FY13" s="18"/>
      <c r="FZ13" s="18"/>
      <c r="GA13" s="18"/>
      <c r="GB13" s="18"/>
      <c r="GC13" s="18"/>
      <c r="GD13" s="18"/>
      <c r="GE13" s="18"/>
      <c r="GF13" s="18"/>
      <c r="GG13" s="18"/>
      <c r="GH13" s="18"/>
      <c r="GI13" s="18"/>
      <c r="GJ13" s="18"/>
      <c r="GK13" s="18"/>
      <c r="GL13" s="18"/>
      <c r="GM13" s="18"/>
      <c r="GN13" s="18"/>
      <c r="GO13" s="18"/>
      <c r="GP13" s="18"/>
      <c r="GQ13" s="18"/>
      <c r="GR13" s="18"/>
      <c r="GS13" s="18"/>
      <c r="GT13" s="18"/>
      <c r="GU13" s="18"/>
      <c r="GV13" s="18"/>
      <c r="GW13" s="18"/>
      <c r="GX13" s="18"/>
      <c r="GY13" s="18"/>
      <c r="GZ13" s="18"/>
      <c r="HA13" s="18"/>
      <c r="HB13" s="18"/>
      <c r="HC13" s="18"/>
      <c r="HD13" s="18"/>
      <c r="HE13" s="18"/>
      <c r="HF13" s="18"/>
      <c r="HG13" s="18"/>
      <c r="HH13" s="18"/>
      <c r="HI13" s="18"/>
      <c r="HJ13" s="18"/>
      <c r="HK13" s="18"/>
      <c r="HL13" s="18"/>
      <c r="HM13" s="18"/>
      <c r="HN13" s="18"/>
      <c r="HO13" s="18"/>
      <c r="HP13" s="18"/>
      <c r="HQ13" s="18"/>
      <c r="HR13" s="18"/>
      <c r="HS13" s="18"/>
      <c r="HT13" s="18"/>
    </row>
    <row r="14" spans="1:228" x14ac:dyDescent="0.2">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c r="FM14" s="18"/>
      <c r="FN14" s="18"/>
      <c r="FO14" s="18"/>
      <c r="FP14" s="18"/>
      <c r="FQ14" s="18"/>
      <c r="FR14" s="18"/>
      <c r="FS14" s="18"/>
      <c r="FT14" s="18"/>
      <c r="FU14" s="18"/>
      <c r="FV14" s="18"/>
      <c r="FW14" s="18"/>
      <c r="FX14" s="18"/>
      <c r="FY14" s="18"/>
      <c r="FZ14" s="18"/>
      <c r="GA14" s="18"/>
      <c r="GB14" s="18"/>
      <c r="GC14" s="18"/>
      <c r="GD14" s="18"/>
      <c r="GE14" s="18"/>
      <c r="GF14" s="18"/>
      <c r="GG14" s="18"/>
      <c r="GH14" s="18"/>
      <c r="GI14" s="18"/>
      <c r="GJ14" s="18"/>
      <c r="GK14" s="18"/>
      <c r="GL14" s="18"/>
      <c r="GM14" s="18"/>
      <c r="GN14" s="18"/>
      <c r="GO14" s="18"/>
      <c r="GP14" s="18"/>
      <c r="GQ14" s="18"/>
      <c r="GR14" s="18"/>
      <c r="GS14" s="18"/>
      <c r="GT14" s="18"/>
      <c r="GU14" s="18"/>
      <c r="GV14" s="18"/>
      <c r="GW14" s="18"/>
      <c r="GX14" s="18"/>
      <c r="GY14" s="18"/>
      <c r="GZ14" s="18"/>
      <c r="HA14" s="18"/>
      <c r="HB14" s="18"/>
      <c r="HC14" s="18"/>
      <c r="HD14" s="18"/>
      <c r="HE14" s="18"/>
      <c r="HF14" s="18"/>
      <c r="HG14" s="18"/>
      <c r="HH14" s="18"/>
      <c r="HI14" s="18"/>
      <c r="HJ14" s="18"/>
      <c r="HK14" s="18"/>
      <c r="HL14" s="18"/>
      <c r="HM14" s="18"/>
      <c r="HN14" s="18"/>
      <c r="HO14" s="18"/>
      <c r="HP14" s="18"/>
      <c r="HQ14" s="18"/>
      <c r="HR14" s="18"/>
      <c r="HS14" s="18"/>
      <c r="HT14" s="18"/>
    </row>
    <row r="15" spans="1:228" x14ac:dyDescent="0.2">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c r="FM15" s="18"/>
      <c r="FN15" s="18"/>
      <c r="FO15" s="18"/>
      <c r="FP15" s="18"/>
      <c r="FQ15" s="18"/>
      <c r="FR15" s="18"/>
      <c r="FS15" s="18"/>
      <c r="FT15" s="18"/>
      <c r="FU15" s="18"/>
      <c r="FV15" s="18"/>
      <c r="FW15" s="18"/>
      <c r="FX15" s="18"/>
      <c r="FY15" s="18"/>
      <c r="FZ15" s="18"/>
      <c r="GA15" s="18"/>
      <c r="GB15" s="18"/>
      <c r="GC15" s="18"/>
      <c r="GD15" s="18"/>
      <c r="GE15" s="18"/>
      <c r="GF15" s="18"/>
      <c r="GG15" s="18"/>
      <c r="GH15" s="18"/>
      <c r="GI15" s="18"/>
      <c r="GJ15" s="18"/>
      <c r="GK15" s="18"/>
      <c r="GL15" s="18"/>
      <c r="GM15" s="18"/>
      <c r="GN15" s="18"/>
      <c r="GO15" s="18"/>
      <c r="GP15" s="18"/>
      <c r="GQ15" s="18"/>
      <c r="GR15" s="18"/>
      <c r="GS15" s="18"/>
      <c r="GT15" s="18"/>
      <c r="GU15" s="18"/>
      <c r="GV15" s="18"/>
      <c r="GW15" s="18"/>
      <c r="GX15" s="18"/>
      <c r="GY15" s="18"/>
      <c r="GZ15" s="18"/>
      <c r="HA15" s="18"/>
      <c r="HB15" s="18"/>
      <c r="HC15" s="18"/>
      <c r="HD15" s="18"/>
      <c r="HE15" s="18"/>
      <c r="HF15" s="18"/>
      <c r="HG15" s="18"/>
      <c r="HH15" s="18"/>
      <c r="HI15" s="18"/>
      <c r="HJ15" s="18"/>
      <c r="HK15" s="18"/>
      <c r="HL15" s="18"/>
      <c r="HM15" s="18"/>
      <c r="HN15" s="18"/>
      <c r="HO15" s="18"/>
      <c r="HP15" s="18"/>
      <c r="HQ15" s="18"/>
      <c r="HR15" s="18"/>
      <c r="HS15" s="18"/>
      <c r="HT15" s="18"/>
    </row>
    <row r="16" spans="1:228" x14ac:dyDescent="0.2">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c r="GQ16" s="18"/>
      <c r="GR16" s="18"/>
      <c r="GS16" s="18"/>
      <c r="GT16" s="18"/>
      <c r="GU16" s="18"/>
      <c r="GV16" s="18"/>
      <c r="GW16" s="18"/>
      <c r="GX16" s="18"/>
      <c r="GY16" s="18"/>
      <c r="GZ16" s="18"/>
      <c r="HA16" s="18"/>
      <c r="HB16" s="18"/>
      <c r="HC16" s="18"/>
      <c r="HD16" s="18"/>
      <c r="HE16" s="18"/>
      <c r="HF16" s="18"/>
      <c r="HG16" s="18"/>
      <c r="HH16" s="18"/>
      <c r="HI16" s="18"/>
      <c r="HJ16" s="18"/>
      <c r="HK16" s="18"/>
      <c r="HL16" s="18"/>
      <c r="HM16" s="18"/>
      <c r="HN16" s="18"/>
      <c r="HO16" s="18"/>
      <c r="HP16" s="18"/>
      <c r="HQ16" s="18"/>
      <c r="HR16" s="18"/>
      <c r="HS16" s="18"/>
      <c r="HT16" s="18"/>
    </row>
    <row r="17" spans="19:228" x14ac:dyDescent="0.2">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c r="GQ17" s="18"/>
      <c r="GR17" s="18"/>
      <c r="GS17" s="18"/>
      <c r="GT17" s="18"/>
      <c r="GU17" s="18"/>
      <c r="GV17" s="18"/>
      <c r="GW17" s="18"/>
      <c r="GX17" s="18"/>
      <c r="GY17" s="18"/>
      <c r="GZ17" s="18"/>
      <c r="HA17" s="18"/>
      <c r="HB17" s="18"/>
      <c r="HC17" s="18"/>
      <c r="HD17" s="18"/>
      <c r="HE17" s="18"/>
      <c r="HF17" s="18"/>
      <c r="HG17" s="18"/>
      <c r="HH17" s="18"/>
      <c r="HI17" s="18"/>
      <c r="HJ17" s="18"/>
      <c r="HK17" s="18"/>
      <c r="HL17" s="18"/>
      <c r="HM17" s="18"/>
      <c r="HN17" s="18"/>
      <c r="HO17" s="18"/>
      <c r="HP17" s="18"/>
      <c r="HQ17" s="18"/>
      <c r="HR17" s="18"/>
      <c r="HS17" s="18"/>
      <c r="HT17" s="18"/>
    </row>
    <row r="18" spans="19:228" x14ac:dyDescent="0.2">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c r="FM18" s="18"/>
      <c r="FN18" s="18"/>
      <c r="FO18" s="18"/>
      <c r="FP18" s="18"/>
      <c r="FQ18" s="18"/>
      <c r="FR18" s="18"/>
      <c r="FS18" s="18"/>
      <c r="FT18" s="18"/>
      <c r="FU18" s="18"/>
      <c r="FV18" s="18"/>
      <c r="FW18" s="18"/>
      <c r="FX18" s="18"/>
      <c r="FY18" s="18"/>
      <c r="FZ18" s="18"/>
      <c r="GA18" s="18"/>
      <c r="GB18" s="18"/>
      <c r="GC18" s="18"/>
      <c r="GD18" s="18"/>
      <c r="GE18" s="18"/>
      <c r="GF18" s="18"/>
      <c r="GG18" s="18"/>
      <c r="GH18" s="18"/>
      <c r="GI18" s="18"/>
      <c r="GJ18" s="18"/>
      <c r="GK18" s="18"/>
      <c r="GL18" s="18"/>
      <c r="GM18" s="18"/>
      <c r="GN18" s="18"/>
      <c r="GO18" s="18"/>
      <c r="GP18" s="18"/>
      <c r="GQ18" s="18"/>
      <c r="GR18" s="18"/>
      <c r="GS18" s="18"/>
      <c r="GT18" s="18"/>
      <c r="GU18" s="18"/>
      <c r="GV18" s="18"/>
      <c r="GW18" s="18"/>
      <c r="GX18" s="18"/>
      <c r="GY18" s="18"/>
      <c r="GZ18" s="18"/>
      <c r="HA18" s="18"/>
      <c r="HB18" s="18"/>
      <c r="HC18" s="18"/>
      <c r="HD18" s="18"/>
      <c r="HE18" s="18"/>
      <c r="HF18" s="18"/>
      <c r="HG18" s="18"/>
      <c r="HH18" s="18"/>
      <c r="HI18" s="18"/>
      <c r="HJ18" s="18"/>
      <c r="HK18" s="18"/>
      <c r="HL18" s="18"/>
      <c r="HM18" s="18"/>
      <c r="HN18" s="18"/>
      <c r="HO18" s="18"/>
      <c r="HP18" s="18"/>
      <c r="HQ18" s="18"/>
      <c r="HR18" s="18"/>
      <c r="HS18" s="18"/>
      <c r="HT18" s="18"/>
    </row>
  </sheetData>
  <phoneticPr fontId="0" type="noConversion"/>
  <conditionalFormatting sqref="H4:H7">
    <cfRule type="colorScale" priority="147">
      <colorScale>
        <cfvo type="min"/>
        <cfvo type="percentile" val="50"/>
        <cfvo type="max"/>
        <color rgb="FFF8696B"/>
        <color rgb="FFFFEB84"/>
        <color rgb="FF63BE7B"/>
      </colorScale>
    </cfRule>
    <cfRule type="colorScale" priority="148">
      <colorScale>
        <cfvo type="min"/>
        <cfvo type="percentile" val="50"/>
        <cfvo type="max"/>
        <color rgb="FF00B050"/>
        <color rgb="FFFFEB84"/>
        <color rgb="FFC00000"/>
      </colorScale>
    </cfRule>
    <cfRule type="colorScale" priority="149">
      <colorScale>
        <cfvo type="min"/>
        <cfvo type="percentile" val="50"/>
        <cfvo type="max"/>
        <color rgb="FF00B050"/>
        <color rgb="FFFFEB84"/>
        <color rgb="FFFF0000"/>
      </colorScale>
    </cfRule>
    <cfRule type="colorScale" priority="150">
      <colorScale>
        <cfvo type="min"/>
        <cfvo type="percentile" val="50"/>
        <cfvo type="max"/>
        <color rgb="FFF8696B"/>
        <color rgb="FFFFEB84"/>
        <color rgb="FF63BE7B"/>
      </colorScale>
    </cfRule>
  </conditionalFormatting>
  <conditionalFormatting sqref="N3:N7">
    <cfRule type="colorScale" priority="62">
      <colorScale>
        <cfvo type="min"/>
        <cfvo type="percentile" val="50"/>
        <cfvo type="max"/>
        <color rgb="FFF8696B"/>
        <color rgb="FFFFEB84"/>
        <color rgb="FF63BE7B"/>
      </colorScale>
    </cfRule>
    <cfRule type="colorScale" priority="63">
      <colorScale>
        <cfvo type="min"/>
        <cfvo type="percentile" val="50"/>
        <cfvo type="max"/>
        <color rgb="FF00B050"/>
        <color rgb="FFFFEB84"/>
        <color rgb="FFC00000"/>
      </colorScale>
    </cfRule>
    <cfRule type="colorScale" priority="64">
      <colorScale>
        <cfvo type="min"/>
        <cfvo type="percentile" val="50"/>
        <cfvo type="max"/>
        <color rgb="FF00B050"/>
        <color rgb="FFFFEB84"/>
        <color rgb="FFFF0000"/>
      </colorScale>
    </cfRule>
    <cfRule type="colorScale" priority="65">
      <colorScale>
        <cfvo type="min"/>
        <cfvo type="percentile" val="50"/>
        <cfvo type="max"/>
        <color rgb="FFF8696B"/>
        <color rgb="FFFFEB84"/>
        <color rgb="FF63BE7B"/>
      </colorScale>
    </cfRule>
  </conditionalFormatting>
  <conditionalFormatting sqref="N3:N7">
    <cfRule type="colorScale" priority="61">
      <colorScale>
        <cfvo type="min"/>
        <cfvo type="percentile" val="50"/>
        <cfvo type="max"/>
        <color rgb="FF00B050"/>
        <color rgb="FFFFEB84"/>
        <color rgb="FFC00000"/>
      </colorScale>
    </cfRule>
    <cfRule type="colorScale" priority="66">
      <colorScale>
        <cfvo type="min"/>
        <cfvo type="percentile" val="50"/>
        <cfvo type="max"/>
        <color rgb="FF92D050"/>
        <color rgb="FFFFEB84"/>
        <color rgb="FFFF0000"/>
      </colorScale>
    </cfRule>
  </conditionalFormatting>
  <conditionalFormatting sqref="L3 L5:L11 M4:M11">
    <cfRule type="cellIs" dxfId="23" priority="5" operator="notEqual">
      <formula>F3</formula>
    </cfRule>
  </conditionalFormatting>
  <conditionalFormatting sqref="L4">
    <cfRule type="cellIs" dxfId="22" priority="4" operator="notEqual">
      <formula>F4</formula>
    </cfRule>
  </conditionalFormatting>
  <conditionalFormatting sqref="M3">
    <cfRule type="cellIs" dxfId="21" priority="2" operator="notEqual">
      <formula>G3</formula>
    </cfRule>
  </conditionalFormatting>
  <conditionalFormatting sqref="H3:H11">
    <cfRule type="colorScale" priority="181">
      <colorScale>
        <cfvo type="min"/>
        <cfvo type="percentile" val="50"/>
        <cfvo type="max"/>
        <color rgb="FFF8696B"/>
        <color rgb="FFFFEB84"/>
        <color rgb="FF63BE7B"/>
      </colorScale>
    </cfRule>
    <cfRule type="colorScale" priority="182">
      <colorScale>
        <cfvo type="min"/>
        <cfvo type="percentile" val="50"/>
        <cfvo type="max"/>
        <color rgb="FF00B050"/>
        <color rgb="FFFFEB84"/>
        <color rgb="FFC00000"/>
      </colorScale>
    </cfRule>
    <cfRule type="colorScale" priority="183">
      <colorScale>
        <cfvo type="min"/>
        <cfvo type="percentile" val="50"/>
        <cfvo type="max"/>
        <color rgb="FF00B050"/>
        <color rgb="FFFFEB84"/>
        <color rgb="FFFF0000"/>
      </colorScale>
    </cfRule>
    <cfRule type="colorScale" priority="184">
      <colorScale>
        <cfvo type="min"/>
        <cfvo type="percentile" val="50"/>
        <cfvo type="max"/>
        <color rgb="FFF8696B"/>
        <color rgb="FFFFEB84"/>
        <color rgb="FF63BE7B"/>
      </colorScale>
    </cfRule>
  </conditionalFormatting>
  <conditionalFormatting sqref="H3:H11">
    <cfRule type="colorScale" priority="185">
      <colorScale>
        <cfvo type="min"/>
        <cfvo type="percentile" val="50"/>
        <cfvo type="max"/>
        <color rgb="FF00B050"/>
        <color rgb="FFFFEB84"/>
        <color rgb="FFC00000"/>
      </colorScale>
    </cfRule>
    <cfRule type="colorScale" priority="186">
      <colorScale>
        <cfvo type="min"/>
        <cfvo type="percentile" val="50"/>
        <cfvo type="max"/>
        <color rgb="FF92D050"/>
        <color rgb="FFFFEB84"/>
        <color rgb="FFFF0000"/>
      </colorScale>
    </cfRule>
  </conditionalFormatting>
  <conditionalFormatting sqref="H8:H11">
    <cfRule type="colorScale" priority="187">
      <colorScale>
        <cfvo type="min"/>
        <cfvo type="percentile" val="50"/>
        <cfvo type="max"/>
        <color rgb="FFF8696B"/>
        <color rgb="FFFFEB84"/>
        <color rgb="FF63BE7B"/>
      </colorScale>
    </cfRule>
    <cfRule type="colorScale" priority="188">
      <colorScale>
        <cfvo type="min"/>
        <cfvo type="percentile" val="50"/>
        <cfvo type="max"/>
        <color rgb="FF00B050"/>
        <color rgb="FFFFEB84"/>
        <color rgb="FFC00000"/>
      </colorScale>
    </cfRule>
    <cfRule type="colorScale" priority="189">
      <colorScale>
        <cfvo type="min"/>
        <cfvo type="percentile" val="50"/>
        <cfvo type="max"/>
        <color rgb="FF00B050"/>
        <color rgb="FFFFEB84"/>
        <color rgb="FFFF0000"/>
      </colorScale>
    </cfRule>
    <cfRule type="colorScale" priority="190">
      <colorScale>
        <cfvo type="min"/>
        <cfvo type="percentile" val="50"/>
        <cfvo type="max"/>
        <color rgb="FFF8696B"/>
        <color rgb="FFFFEB84"/>
        <color rgb="FF63BE7B"/>
      </colorScale>
    </cfRule>
  </conditionalFormatting>
  <conditionalFormatting sqref="H8:H11">
    <cfRule type="colorScale" priority="191">
      <colorScale>
        <cfvo type="min"/>
        <cfvo type="percentile" val="50"/>
        <cfvo type="max"/>
        <color rgb="FF00B050"/>
        <color rgb="FFFFEB84"/>
        <color rgb="FFC00000"/>
      </colorScale>
    </cfRule>
    <cfRule type="colorScale" priority="192">
      <colorScale>
        <cfvo type="min"/>
        <cfvo type="percentile" val="50"/>
        <cfvo type="max"/>
        <color rgb="FF92D050"/>
        <color rgb="FFFFEB84"/>
        <color rgb="FFFF0000"/>
      </colorScale>
    </cfRule>
  </conditionalFormatting>
  <conditionalFormatting sqref="H8:H11">
    <cfRule type="colorScale" priority="193">
      <colorScale>
        <cfvo type="min"/>
        <cfvo type="percentile" val="50"/>
        <cfvo type="max"/>
        <color rgb="FF00B050"/>
        <color rgb="FFFFEB84"/>
        <color rgb="FFC00000"/>
      </colorScale>
    </cfRule>
  </conditionalFormatting>
  <conditionalFormatting sqref="N8:N11">
    <cfRule type="colorScale" priority="194">
      <colorScale>
        <cfvo type="min"/>
        <cfvo type="percentile" val="50"/>
        <cfvo type="max"/>
        <color rgb="FFF8696B"/>
        <color rgb="FFFFEB84"/>
        <color rgb="FF63BE7B"/>
      </colorScale>
    </cfRule>
    <cfRule type="colorScale" priority="195">
      <colorScale>
        <cfvo type="min"/>
        <cfvo type="percentile" val="50"/>
        <cfvo type="max"/>
        <color rgb="FF00B050"/>
        <color rgb="FFFFEB84"/>
        <color rgb="FFC00000"/>
      </colorScale>
    </cfRule>
    <cfRule type="colorScale" priority="196">
      <colorScale>
        <cfvo type="min"/>
        <cfvo type="percentile" val="50"/>
        <cfvo type="max"/>
        <color rgb="FF00B050"/>
        <color rgb="FFFFEB84"/>
        <color rgb="FFFF0000"/>
      </colorScale>
    </cfRule>
    <cfRule type="colorScale" priority="197">
      <colorScale>
        <cfvo type="min"/>
        <cfvo type="percentile" val="50"/>
        <cfvo type="max"/>
        <color rgb="FFF8696B"/>
        <color rgb="FFFFEB84"/>
        <color rgb="FF63BE7B"/>
      </colorScale>
    </cfRule>
  </conditionalFormatting>
  <conditionalFormatting sqref="N8:N11">
    <cfRule type="colorScale" priority="198">
      <colorScale>
        <cfvo type="min"/>
        <cfvo type="percentile" val="50"/>
        <cfvo type="max"/>
        <color rgb="FF00B050"/>
        <color rgb="FFFFEB84"/>
        <color rgb="FFC00000"/>
      </colorScale>
    </cfRule>
    <cfRule type="colorScale" priority="199">
      <colorScale>
        <cfvo type="min"/>
        <cfvo type="percentile" val="50"/>
        <cfvo type="max"/>
        <color rgb="FF92D050"/>
        <color rgb="FFFFEB84"/>
        <color rgb="FFFF0000"/>
      </colorScale>
    </cfRule>
  </conditionalFormatting>
  <conditionalFormatting sqref="N8:N11">
    <cfRule type="colorScale" priority="200">
      <colorScale>
        <cfvo type="min"/>
        <cfvo type="percentile" val="50"/>
        <cfvo type="max"/>
        <color rgb="FF00B050"/>
        <color rgb="FFFFEB84"/>
        <color rgb="FFC00000"/>
      </colorScale>
    </cfRule>
  </conditionalFormatting>
  <conditionalFormatting sqref="B3:B11">
    <cfRule type="duplicateValues" dxfId="20" priority="201"/>
  </conditionalFormatting>
  <conditionalFormatting sqref="N3:N11 H3:H11">
    <cfRule type="colorScale" priority="203">
      <colorScale>
        <cfvo type="min"/>
        <cfvo type="percentile" val="50"/>
        <cfvo type="max"/>
        <color rgb="FF00B050"/>
        <color rgb="FFFFEB84"/>
        <color rgb="FFC00000"/>
      </colorScale>
    </cfRule>
  </conditionalFormatting>
  <conditionalFormatting sqref="N3:N11 H3:H11">
    <cfRule type="colorScale" priority="206">
      <colorScale>
        <cfvo type="min"/>
        <cfvo type="percentile" val="50"/>
        <cfvo type="max"/>
        <color rgb="FF00B050"/>
        <color rgb="FFFFEB84"/>
        <color rgb="FFC00000"/>
      </colorScale>
    </cfRule>
  </conditionalFormatting>
  <conditionalFormatting sqref="N3:N11">
    <cfRule type="colorScale" priority="208">
      <colorScale>
        <cfvo type="min"/>
        <cfvo type="percentile" val="50"/>
        <cfvo type="max"/>
        <color rgb="FFF8696B"/>
        <color rgb="FFFFEB84"/>
        <color rgb="FF63BE7B"/>
      </colorScale>
    </cfRule>
    <cfRule type="colorScale" priority="209">
      <colorScale>
        <cfvo type="min"/>
        <cfvo type="percentile" val="50"/>
        <cfvo type="max"/>
        <color rgb="FF00B050"/>
        <color rgb="FFFFEB84"/>
        <color rgb="FFC00000"/>
      </colorScale>
    </cfRule>
    <cfRule type="colorScale" priority="210">
      <colorScale>
        <cfvo type="min"/>
        <cfvo type="percentile" val="50"/>
        <cfvo type="max"/>
        <color rgb="FF00B050"/>
        <color rgb="FFFFEB84"/>
        <color rgb="FFFF0000"/>
      </colorScale>
    </cfRule>
    <cfRule type="colorScale" priority="211">
      <colorScale>
        <cfvo type="min"/>
        <cfvo type="percentile" val="50"/>
        <cfvo type="max"/>
        <color rgb="FFF8696B"/>
        <color rgb="FFFFEB84"/>
        <color rgb="FF63BE7B"/>
      </colorScale>
    </cfRule>
  </conditionalFormatting>
  <conditionalFormatting sqref="N3:N11">
    <cfRule type="colorScale" priority="212">
      <colorScale>
        <cfvo type="min"/>
        <cfvo type="percentile" val="50"/>
        <cfvo type="max"/>
        <color rgb="FF00B050"/>
        <color rgb="FFFFEB84"/>
        <color rgb="FFC00000"/>
      </colorScale>
    </cfRule>
    <cfRule type="colorScale" priority="213">
      <colorScale>
        <cfvo type="min"/>
        <cfvo type="percentile" val="50"/>
        <cfvo type="max"/>
        <color rgb="FF92D050"/>
        <color rgb="FFFFEB84"/>
        <color rgb="FFFF0000"/>
      </colorScale>
    </cfRule>
  </conditionalFormatting>
  <conditionalFormatting sqref="N3:O11">
    <cfRule type="colorScale" priority="214">
      <colorScale>
        <cfvo type="min"/>
        <cfvo type="percentile" val="50"/>
        <cfvo type="max"/>
        <color rgb="FF00B050"/>
        <color rgb="FFFFEB84"/>
        <color rgb="FFC00000"/>
      </colorScale>
    </cfRule>
  </conditionalFormatting>
  <conditionalFormatting sqref="H3:H11 N3:O11">
    <cfRule type="colorScale" priority="215">
      <colorScale>
        <cfvo type="percent" val="0"/>
        <cfvo type="percentile" val="50"/>
        <cfvo type="percent" val="100"/>
        <color rgb="FF00B050"/>
        <color rgb="FFFFEB84"/>
        <color rgb="FFC00000"/>
      </colorScale>
    </cfRule>
  </conditionalFormatting>
  <hyperlinks>
    <hyperlink ref="B2" location="'Guidance on usage'!A1" display="ID" xr:uid="{00000000-0004-0000-0200-000000000000}"/>
    <hyperlink ref="C2" location="'Guidance on usage'!A1" display="Risk description" xr:uid="{00000000-0004-0000-0200-000001000000}"/>
    <hyperlink ref="D2" location="'Guidance on usage'!A1" display="Risk owner" xr:uid="{00000000-0004-0000-0200-000002000000}"/>
    <hyperlink ref="E2" location="'Guidance on usage'!A1" display="Impact description" xr:uid="{00000000-0004-0000-0200-000003000000}"/>
    <hyperlink ref="F2" location="'Guidance on scoring'!A1" display="Prob" xr:uid="{00000000-0004-0000-0200-000004000000}"/>
    <hyperlink ref="G2" location="'Guidance on scoring'!A1" display="Impact" xr:uid="{00000000-0004-0000-0200-000005000000}"/>
    <hyperlink ref="H2" location="'Guidance on scoring'!A1" display="Priority" xr:uid="{00000000-0004-0000-0200-000006000000}"/>
    <hyperlink ref="I2" location="'Guidance on usage'!A1" display="Mitigation description" xr:uid="{00000000-0004-0000-0200-000007000000}"/>
    <hyperlink ref="J2" location="'Guidance on usage'!A1" display="M-Cost" xr:uid="{00000000-0004-0000-0200-000008000000}"/>
    <hyperlink ref="L2" location="'Guidance on scoring'!A1" display="Prob" xr:uid="{00000000-0004-0000-0200-000009000000}"/>
    <hyperlink ref="M2" location="'Guidance on scoring'!A1" display="Impact" xr:uid="{00000000-0004-0000-0200-00000A000000}"/>
    <hyperlink ref="N2" location="'Guidance on scoring'!A1" display="Priority" xr:uid="{00000000-0004-0000-0200-00000B000000}"/>
    <hyperlink ref="Q2" location="'Guidance on usage'!A1" display="Date last reviewed/updated" xr:uid="{00000000-0004-0000-0200-00000C000000}"/>
    <hyperlink ref="K2" location="'Guidance on usage'!A1" display="M-Status" xr:uid="{00000000-0004-0000-0200-00000D000000}"/>
  </hyperlinks>
  <printOptions horizontalCentered="1"/>
  <pageMargins left="0.31496062992125984" right="0.31496062992125984" top="0.49" bottom="0.18" header="0.16" footer="0.16"/>
  <pageSetup paperSize="9" scale="58" fitToHeight="17" orientation="landscape" r:id="rId1"/>
  <headerFooter alignWithMargins="0">
    <oddHeader xml:space="preserve">&amp;L&amp;9Account/Project/Unit: 
Page: &amp;P    Date Printed: &amp;D&amp;C&amp;"Arial Narrow,Bold"&amp;11Risk Register&amp;R&amp;9COMMERCIAL IN CONFIDENCE
</oddHead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lorScale" priority="202" id="{5FAA5402-D6DA-43DA-8C76-0F684709ED7E}">
            <x14:colorScale>
              <x14:cfvo type="num">
                <xm:f>"0+'Guidance on scoring'!$I$9"</xm:f>
              </x14:cfvo>
              <x14:cfvo type="percentile">
                <xm:f>50</xm:f>
              </x14:cfvo>
              <x14:cfvo type="num">
                <xm:f>'Orientações para classificação'!$E$5</xm:f>
              </x14:cfvo>
              <x14:color rgb="FF00B050"/>
              <x14:color rgb="FFFFEB84"/>
              <x14:color rgb="FFC00000"/>
            </x14:colorScale>
          </x14:cfRule>
          <xm:sqref>N3:N11 H3:H11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C23"/>
  <sheetViews>
    <sheetView showGridLines="0" topLeftCell="A2" workbookViewId="0">
      <selection activeCell="B12" sqref="B12"/>
    </sheetView>
  </sheetViews>
  <sheetFormatPr defaultColWidth="9" defaultRowHeight="14.25" x14ac:dyDescent="0.2"/>
  <cols>
    <col min="1" max="1" width="1.875" customWidth="1"/>
    <col min="2" max="2" width="22" style="4" customWidth="1"/>
    <col min="3" max="3" width="117.5" customWidth="1"/>
    <col min="4" max="4" width="6" customWidth="1"/>
    <col min="5" max="5" width="11.875" customWidth="1"/>
    <col min="6" max="10" width="13.25" customWidth="1"/>
  </cols>
  <sheetData>
    <row r="1" spans="2:3" ht="15" thickBot="1" x14ac:dyDescent="0.25"/>
    <row r="2" spans="2:3" ht="27" x14ac:dyDescent="0.2">
      <c r="B2" s="46" t="s">
        <v>15</v>
      </c>
      <c r="C2" s="47" t="s">
        <v>16</v>
      </c>
    </row>
    <row r="3" spans="2:3" ht="42.75" x14ac:dyDescent="0.2">
      <c r="B3" s="48" t="s">
        <v>0</v>
      </c>
      <c r="C3" s="13" t="s">
        <v>117</v>
      </c>
    </row>
    <row r="4" spans="2:3" ht="28.5" x14ac:dyDescent="0.2">
      <c r="B4" s="49" t="s">
        <v>18</v>
      </c>
      <c r="C4" s="13" t="s">
        <v>101</v>
      </c>
    </row>
    <row r="5" spans="2:3" ht="43.5" x14ac:dyDescent="0.2">
      <c r="B5" s="49" t="s">
        <v>73</v>
      </c>
      <c r="C5" s="13" t="s">
        <v>102</v>
      </c>
    </row>
    <row r="6" spans="2:3" ht="42.75" x14ac:dyDescent="0.2">
      <c r="B6" s="49" t="s">
        <v>19</v>
      </c>
      <c r="C6" s="13" t="s">
        <v>118</v>
      </c>
    </row>
    <row r="7" spans="2:3" ht="15" x14ac:dyDescent="0.2">
      <c r="B7" s="49" t="s">
        <v>20</v>
      </c>
      <c r="C7" s="13" t="s">
        <v>103</v>
      </c>
    </row>
    <row r="8" spans="2:3" ht="15" x14ac:dyDescent="0.2">
      <c r="B8" s="49" t="s">
        <v>74</v>
      </c>
      <c r="C8" s="13" t="s">
        <v>104</v>
      </c>
    </row>
    <row r="9" spans="2:3" ht="15" x14ac:dyDescent="0.2">
      <c r="B9" s="49" t="s">
        <v>75</v>
      </c>
      <c r="C9" s="50" t="s">
        <v>105</v>
      </c>
    </row>
    <row r="10" spans="2:3" ht="28.5" x14ac:dyDescent="0.2">
      <c r="B10" s="49" t="s">
        <v>76</v>
      </c>
      <c r="C10" s="13" t="s">
        <v>106</v>
      </c>
    </row>
    <row r="11" spans="2:3" ht="15" x14ac:dyDescent="0.2">
      <c r="B11" s="49" t="s">
        <v>77</v>
      </c>
      <c r="C11" s="13" t="s">
        <v>107</v>
      </c>
    </row>
    <row r="12" spans="2:3" ht="28.5" x14ac:dyDescent="0.2">
      <c r="B12" s="49" t="s">
        <v>125</v>
      </c>
      <c r="C12" s="13" t="s">
        <v>108</v>
      </c>
    </row>
    <row r="13" spans="2:3" ht="28.5" x14ac:dyDescent="0.2">
      <c r="B13" s="49" t="s">
        <v>78</v>
      </c>
      <c r="C13" s="13" t="s">
        <v>109</v>
      </c>
    </row>
    <row r="14" spans="2:3" ht="57" x14ac:dyDescent="0.2">
      <c r="B14" s="49" t="s">
        <v>79</v>
      </c>
      <c r="C14" s="13" t="s">
        <v>111</v>
      </c>
    </row>
    <row r="15" spans="2:3" ht="15" x14ac:dyDescent="0.2">
      <c r="B15" s="49" t="s">
        <v>80</v>
      </c>
      <c r="C15" s="50" t="s">
        <v>110</v>
      </c>
    </row>
    <row r="16" spans="2:3" ht="71.25" x14ac:dyDescent="0.2">
      <c r="B16" s="49" t="s">
        <v>81</v>
      </c>
      <c r="C16" s="50" t="s">
        <v>121</v>
      </c>
    </row>
    <row r="17" spans="2:3" ht="28.5" x14ac:dyDescent="0.2">
      <c r="B17" s="49" t="s">
        <v>16</v>
      </c>
      <c r="C17" s="13" t="s">
        <v>112</v>
      </c>
    </row>
    <row r="18" spans="2:3" ht="29.25" thickBot="1" x14ac:dyDescent="0.25">
      <c r="B18" s="51" t="s">
        <v>82</v>
      </c>
      <c r="C18" s="14" t="s">
        <v>122</v>
      </c>
    </row>
    <row r="20" spans="2:3" x14ac:dyDescent="0.2">
      <c r="C20" t="s">
        <v>115</v>
      </c>
    </row>
    <row r="21" spans="2:3" ht="28.5" x14ac:dyDescent="0.2">
      <c r="C21" t="s">
        <v>116</v>
      </c>
    </row>
    <row r="23" spans="2:3" x14ac:dyDescent="0.2">
      <c r="C23" t="s">
        <v>123</v>
      </c>
    </row>
  </sheetData>
  <phoneticPr fontId="0" type="noConversion"/>
  <hyperlinks>
    <hyperlink ref="C23" location="'Worked example'!A1" display="The 'worked example' sheet shows a few sample risks to demonstrate how the risk register works.  All data are fictitious!" xr:uid="{00000000-0004-0000-0300-000004000000}"/>
  </hyperlinks>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11"/>
  <sheetViews>
    <sheetView showGridLines="0" topLeftCell="A3" workbookViewId="0"/>
  </sheetViews>
  <sheetFormatPr defaultColWidth="9" defaultRowHeight="14.25" x14ac:dyDescent="0.2"/>
  <cols>
    <col min="1" max="1" width="6.625" style="8" customWidth="1"/>
    <col min="2" max="2" width="15.625" style="8" customWidth="1"/>
    <col min="3" max="3" width="24.875" style="8" customWidth="1"/>
    <col min="4" max="4" width="3.75" style="8" customWidth="1"/>
    <col min="5" max="9" width="19.875" style="8" customWidth="1"/>
    <col min="10" max="16384" width="9" style="8"/>
  </cols>
  <sheetData>
    <row r="1" spans="1:9" ht="35.25" thickBot="1" x14ac:dyDescent="0.25">
      <c r="E1" s="75" t="s">
        <v>29</v>
      </c>
      <c r="F1" s="75"/>
      <c r="G1" s="75"/>
      <c r="H1" s="75"/>
      <c r="I1" s="75"/>
    </row>
    <row r="2" spans="1:9" s="5" customFormat="1" ht="26.1" customHeight="1" x14ac:dyDescent="0.2">
      <c r="B2" s="72"/>
      <c r="C2" s="72"/>
      <c r="D2" s="73"/>
      <c r="E2" s="28" t="s">
        <v>30</v>
      </c>
      <c r="F2" s="29" t="s">
        <v>32</v>
      </c>
      <c r="G2" s="29" t="s">
        <v>33</v>
      </c>
      <c r="H2" s="29" t="s">
        <v>34</v>
      </c>
      <c r="I2" s="30" t="s">
        <v>31</v>
      </c>
    </row>
    <row r="3" spans="1:9" s="5" customFormat="1" ht="99.75" x14ac:dyDescent="0.2">
      <c r="B3" s="23"/>
      <c r="C3" s="23"/>
      <c r="D3" s="24"/>
      <c r="E3" s="33" t="s">
        <v>62</v>
      </c>
      <c r="F3" s="34" t="s">
        <v>63</v>
      </c>
      <c r="G3" s="34" t="s">
        <v>65</v>
      </c>
      <c r="H3" s="34" t="s">
        <v>64</v>
      </c>
      <c r="I3" s="35" t="s">
        <v>66</v>
      </c>
    </row>
    <row r="4" spans="1:9" ht="17.25" customHeight="1" thickBot="1" x14ac:dyDescent="0.25">
      <c r="B4" s="15"/>
      <c r="C4" s="15"/>
      <c r="D4" s="6"/>
      <c r="E4" s="39">
        <v>1</v>
      </c>
      <c r="F4" s="40">
        <v>0.8</v>
      </c>
      <c r="G4" s="40">
        <v>0.62</v>
      </c>
      <c r="H4" s="40">
        <v>0.25</v>
      </c>
      <c r="I4" s="41">
        <v>0.01</v>
      </c>
    </row>
    <row r="5" spans="1:9" ht="75" customHeight="1" x14ac:dyDescent="0.2">
      <c r="A5" s="74" t="s">
        <v>28</v>
      </c>
      <c r="B5" s="28" t="s">
        <v>57</v>
      </c>
      <c r="C5" s="25" t="s">
        <v>68</v>
      </c>
      <c r="D5" s="36">
        <v>1</v>
      </c>
      <c r="E5" s="42">
        <f>$D$5*E4</f>
        <v>1</v>
      </c>
      <c r="F5" s="42">
        <f t="shared" ref="F5:I5" si="0">$D$5*F4</f>
        <v>0.8</v>
      </c>
      <c r="G5" s="42">
        <f t="shared" si="0"/>
        <v>0.62</v>
      </c>
      <c r="H5" s="42">
        <f t="shared" si="0"/>
        <v>0.25</v>
      </c>
      <c r="I5" s="43">
        <f t="shared" si="0"/>
        <v>0.01</v>
      </c>
    </row>
    <row r="6" spans="1:9" ht="75" customHeight="1" x14ac:dyDescent="0.2">
      <c r="A6" s="74"/>
      <c r="B6" s="31" t="s">
        <v>58</v>
      </c>
      <c r="C6" s="26" t="s">
        <v>67</v>
      </c>
      <c r="D6" s="37">
        <v>0.8</v>
      </c>
      <c r="E6" s="42">
        <f>$D$6*E4</f>
        <v>0.8</v>
      </c>
      <c r="F6" s="42">
        <f t="shared" ref="F6:I6" si="1">$D$6*F4</f>
        <v>0.64000000000000012</v>
      </c>
      <c r="G6" s="42">
        <f t="shared" si="1"/>
        <v>0.496</v>
      </c>
      <c r="H6" s="42">
        <f t="shared" si="1"/>
        <v>0.2</v>
      </c>
      <c r="I6" s="43">
        <f t="shared" si="1"/>
        <v>8.0000000000000002E-3</v>
      </c>
    </row>
    <row r="7" spans="1:9" ht="75" customHeight="1" x14ac:dyDescent="0.2">
      <c r="A7" s="74"/>
      <c r="B7" s="31" t="s">
        <v>59</v>
      </c>
      <c r="C7" s="26" t="s">
        <v>69</v>
      </c>
      <c r="D7" s="37">
        <v>0.62</v>
      </c>
      <c r="E7" s="42">
        <f>$D$7*E4</f>
        <v>0.62</v>
      </c>
      <c r="F7" s="42">
        <f t="shared" ref="F7:I7" si="2">$D$7*F4</f>
        <v>0.496</v>
      </c>
      <c r="G7" s="42">
        <f t="shared" si="2"/>
        <v>0.38440000000000002</v>
      </c>
      <c r="H7" s="42">
        <f t="shared" si="2"/>
        <v>0.155</v>
      </c>
      <c r="I7" s="43">
        <f t="shared" si="2"/>
        <v>6.1999999999999998E-3</v>
      </c>
    </row>
    <row r="8" spans="1:9" ht="75" customHeight="1" x14ac:dyDescent="0.2">
      <c r="A8" s="74"/>
      <c r="B8" s="31" t="s">
        <v>60</v>
      </c>
      <c r="C8" s="26" t="s">
        <v>70</v>
      </c>
      <c r="D8" s="37">
        <v>0.25</v>
      </c>
      <c r="E8" s="42">
        <f>$D$8*E4</f>
        <v>0.25</v>
      </c>
      <c r="F8" s="42">
        <f t="shared" ref="F8:I8" si="3">$D$8*F4</f>
        <v>0.2</v>
      </c>
      <c r="G8" s="42">
        <f t="shared" si="3"/>
        <v>0.155</v>
      </c>
      <c r="H8" s="42">
        <f t="shared" si="3"/>
        <v>6.25E-2</v>
      </c>
      <c r="I8" s="43">
        <f t="shared" si="3"/>
        <v>2.5000000000000001E-3</v>
      </c>
    </row>
    <row r="9" spans="1:9" ht="75" customHeight="1" thickBot="1" x14ac:dyDescent="0.25">
      <c r="A9" s="74"/>
      <c r="B9" s="32" t="s">
        <v>61</v>
      </c>
      <c r="C9" s="27" t="s">
        <v>72</v>
      </c>
      <c r="D9" s="38">
        <v>0.01</v>
      </c>
      <c r="E9" s="44">
        <f>$D$9*E4</f>
        <v>0.01</v>
      </c>
      <c r="F9" s="44">
        <f t="shared" ref="F9:I9" si="4">$D$9*F4</f>
        <v>8.0000000000000002E-3</v>
      </c>
      <c r="G9" s="44">
        <f t="shared" si="4"/>
        <v>6.1999999999999998E-3</v>
      </c>
      <c r="H9" s="44">
        <f t="shared" si="4"/>
        <v>2.5000000000000001E-3</v>
      </c>
      <c r="I9" s="45">
        <f t="shared" si="4"/>
        <v>1E-4</v>
      </c>
    </row>
    <row r="10" spans="1:9" s="5" customFormat="1" ht="7.5" customHeight="1" x14ac:dyDescent="0.2">
      <c r="B10" s="7"/>
      <c r="C10" s="7"/>
      <c r="D10" s="7"/>
      <c r="E10" s="7"/>
      <c r="F10" s="7"/>
      <c r="G10" s="7"/>
      <c r="H10" s="7"/>
      <c r="I10" s="7"/>
    </row>
    <row r="11" spans="1:9" ht="33.75" customHeight="1" x14ac:dyDescent="0.2">
      <c r="B11" s="76" t="s">
        <v>71</v>
      </c>
      <c r="C11" s="77"/>
      <c r="D11" s="77"/>
      <c r="E11" s="77"/>
      <c r="F11" s="77"/>
      <c r="G11" s="77"/>
      <c r="H11" s="77"/>
      <c r="I11" s="77"/>
    </row>
  </sheetData>
  <mergeCells count="4">
    <mergeCell ref="B2:D2"/>
    <mergeCell ref="A5:A9"/>
    <mergeCell ref="E1:I1"/>
    <mergeCell ref="B11:I11"/>
  </mergeCells>
  <phoneticPr fontId="0" type="noConversion"/>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Introdução</vt:lpstr>
      <vt:lpstr>Registro de riscos</vt:lpstr>
      <vt:lpstr>Exemplo prático</vt:lpstr>
      <vt:lpstr>Orientações de uso</vt:lpstr>
      <vt:lpstr>Orientações para classificação</vt:lpstr>
      <vt:lpstr>'Exemplo prático'!Print_Area</vt:lpstr>
      <vt:lpstr>'Orientações para classificação'!Print_Area</vt:lpstr>
      <vt:lpstr>'Exemplo prático'!Print_Titles</vt:lpstr>
      <vt:lpstr>'Orientações para classificação'!Print_Titles</vt:lpstr>
    </vt:vector>
  </TitlesOfParts>
  <Company>XYZ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Hinson</dc:creator>
  <cp:lastModifiedBy>Gary@isect.com</cp:lastModifiedBy>
  <cp:lastPrinted>2012-09-01T01:15:43Z</cp:lastPrinted>
  <dcterms:created xsi:type="dcterms:W3CDTF">2001-03-01T12:12:37Z</dcterms:created>
  <dcterms:modified xsi:type="dcterms:W3CDTF">2023-08-16T17:14:22Z</dcterms:modified>
</cp:coreProperties>
</file>