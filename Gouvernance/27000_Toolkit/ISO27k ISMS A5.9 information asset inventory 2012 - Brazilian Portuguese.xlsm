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defaultThemeVersion="166925"/>
  <mc:AlternateContent xmlns:mc="http://schemas.openxmlformats.org/markup-compatibility/2006">
    <mc:Choice Requires="x15">
      <x15ac:absPath xmlns:x15ac="http://schemas.microsoft.com/office/spreadsheetml/2010/11/ac" url="https://d.docs.live.net/7c38a1cfd0f6d6d8/Documentos/Comunidade/Projetos/Tradução ISO Toolkit/"/>
    </mc:Choice>
  </mc:AlternateContent>
  <xr:revisionPtr revIDLastSave="201" documentId="11_4E28C6858E4FEA4E622AECEA42E1BDC90480E80F" xr6:coauthVersionLast="47" xr6:coauthVersionMax="47" xr10:uidLastSave="{0427C66C-BD3C-48C3-A382-A8F53D2B93E9}"/>
  <bookViews>
    <workbookView xWindow="28680" yWindow="-120" windowWidth="29040" windowHeight="15720" tabRatio="500" activeTab="3" xr2:uid="{00000000-000D-0000-FFFF-FFFF00000000}"/>
  </bookViews>
  <sheets>
    <sheet name="Visão Geral" sheetId="1" r:id="rId1"/>
    <sheet name="InventárioAtivosInformação" sheetId="2" r:id="rId2"/>
    <sheet name="Análise de Gap" sheetId="3" r:id="rId3"/>
    <sheet name="Diretrizes" sheetId="4" r:id="rId4"/>
    <sheet name="GAP Analysis 2011" sheetId="5" state="hidden" r:id="rId5"/>
    <sheet name="MgmtSummary" sheetId="6" state="hidden" r:id="rId6"/>
  </sheets>
  <externalReferences>
    <externalReference r:id="rId7"/>
  </externalReferences>
  <definedNames>
    <definedName name="_10._Sensitive_Customer_Information_?__Y_N" localSheetId="4">InventárioAtivosInformação!#REF!</definedName>
    <definedName name="_10._Sensitive_Customer_Information_?__Y_N">InventárioAtivosInformação!#REF!</definedName>
    <definedName name="_xlnm.Print_Area" localSheetId="3">Diretrizes!$A$1:$T$50</definedName>
    <definedName name="_xlnm.Print_Area" localSheetId="5">MgmtSummary!$A$1:$H$16</definedName>
    <definedName name="_xlnm.Criteria" localSheetId="4">InventárioAtivosInformação!#REF!</definedName>
    <definedName name="_xlnm.Criteria">InventárioAtivosInformação!#REF!</definedName>
    <definedName name="List1">[1]Milestones!$B$24:$B$26</definedName>
    <definedName name="status">#REF!</definedName>
    <definedName name="_xlnm.Print_Titles" localSheetId="5">MgmtSummary!$1:$2</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8" i="6" l="1"/>
  <c r="B7" i="6"/>
  <c r="B6" i="6"/>
  <c r="B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3" authorId="0" shapeId="0" xr:uid="{00000000-0006-0000-0100-000001000000}">
      <text>
        <r>
          <rPr>
            <sz val="11"/>
            <color rgb="FF000000"/>
            <rFont val="Calibri"/>
            <family val="2"/>
            <charset val="1"/>
          </rPr>
          <t xml:space="preserve">Propósito
</t>
        </r>
      </text>
    </comment>
    <comment ref="H3" authorId="0" shapeId="0" xr:uid="{00000000-0006-0000-0100-000002000000}">
      <text>
        <r>
          <rPr>
            <sz val="11"/>
            <color rgb="FF000000"/>
            <rFont val="Calibri"/>
            <family val="2"/>
            <charset val="1"/>
          </rPr>
          <t>Quaisquer dados relacionados diretamente a um indivíduo vivo, incluindo dados em formatos como teste, áudio, CCTV e fotografias estáticas</t>
        </r>
      </text>
    </comment>
    <comment ref="I3" authorId="0" shapeId="0" xr:uid="{00000000-0006-0000-0100-000003000000}">
      <text>
        <r>
          <rPr>
            <sz val="11"/>
            <color rgb="FF000000"/>
            <rFont val="Calibri"/>
            <family val="2"/>
            <charset val="1"/>
          </rPr>
          <t>Dados pessoais constituídos por:
(a) origem racial ou étnica
(b) opiniões políticas
(c) crenças religiosas ou natureza similar
(d) filiação sindical
(e) saúde ou condição física ou mental
(f) vida sexual
(g) comissão ou alegada comissão por ele de qualquer infração, ou
(h) qualquer processo por qualquer delito cometido ou alegadamente cometido por ele</t>
        </r>
      </text>
    </comment>
    <comment ref="J3" authorId="0" shapeId="0" xr:uid="{00000000-0006-0000-0100-000004000000}">
      <text>
        <r>
          <rPr>
            <sz val="11"/>
            <color rgb="FF000000"/>
            <rFont val="Calibri"/>
            <family val="2"/>
            <charset val="1"/>
          </rPr>
          <t>por exemplo. detalhes da conta bancária, nome de usuário e senhas, informações financeiras pessoais</t>
        </r>
      </text>
    </comment>
    <comment ref="N3" authorId="0" shapeId="0" xr:uid="{00000000-0006-0000-0100-000005000000}">
      <text>
        <r>
          <rPr>
            <sz val="11"/>
            <color rgb="FF000000"/>
            <rFont val="Calibri"/>
            <family val="2"/>
            <charset val="1"/>
          </rPr>
          <t>mccolls:
Pessoa que é responsável pelo armazenamento</t>
        </r>
      </text>
    </comment>
    <comment ref="P3" authorId="0" shapeId="0" xr:uid="{00000000-0006-0000-0100-000006000000}">
      <text>
        <r>
          <rPr>
            <sz val="11"/>
            <color rgb="FF000000"/>
            <rFont val="Calibri"/>
            <family val="2"/>
            <charset val="1"/>
          </rPr>
          <t>mccolls:
A proteção deve refletir:
Para cópia impressa:
         Mantido em cofre à prova de fogo
         Mantido sob chave em todos os momentos
         Mantido sob chave durante a noite
         Guardado no armário/arquivo (não trancado)
         Mantido na mesa
         ...
Para cópia eletrônica:
         Armazenado em unidades locais no laptop desprotegido
         Armazenado em unidades locais no laptop, o arquivo é protegido por senha
         Armazenado na unidade de rede no laptop desprotegido
         Armazenado na unidade de rede no laptop, o arquivo é protegido por senha
         Armazenado no PC desprotegido
         Armazenado no PC, o arquivo é protegido por senha
         Armazenado em laptop ou PC criptografado
         ...</t>
        </r>
      </text>
    </comment>
    <comment ref="Q3" authorId="0" shapeId="0" xr:uid="{00000000-0006-0000-0100-000007000000}">
      <text>
        <r>
          <rPr>
            <sz val="11"/>
            <color rgb="FF000000"/>
            <rFont val="Calibri"/>
            <family val="2"/>
            <charset val="1"/>
          </rPr>
          <t xml:space="preserve">mccolls:
A proteção deve refletir:
1) PARA ONDE AS INFORMAÇÕES FORAM MUDADAS
2) NÍVEL DE PROTEÇÃO NO NOVO LOCAL
Para cópia impressa:
         Mantido em cofre à prova de fogo
         Mantido sob chave em todos os momentos
         Mantido sob chave durante a noite
         Guardado no armário/arquivo (não trancado)
         Mantido na mesa
         ...
Para cópia eletrônica:
         Armazenado em unidades locais no laptop desprotegido
         Armazenado em unidades locais no laptop, o arquivo é protegido por senha
         Armazenado na unidade de rede no laptop desprotegido
         Armazenado na unidade de rede no laptop, o arquivo é protegido por senha
         Armazenado no PC desprotegido
         Armazenado no PC, o arquivo é protegido por senha
         Armazenado em laptop ou PC criptografado
         ...
</t>
        </r>
      </text>
    </comment>
  </commentList>
</comments>
</file>

<file path=xl/sharedStrings.xml><?xml version="1.0" encoding="utf-8"?>
<sst xmlns="http://schemas.openxmlformats.org/spreadsheetml/2006/main" count="341" uniqueCount="265">
  <si>
    <t>Conteúdos</t>
  </si>
  <si>
    <t>Atualização</t>
  </si>
  <si>
    <t>0x01</t>
  </si>
  <si>
    <t>Inventário de Ativos de Informação</t>
  </si>
  <si>
    <t>0x02</t>
  </si>
  <si>
    <t>Diretrizes</t>
  </si>
  <si>
    <t>Data de conclusão:</t>
  </si>
  <si>
    <t>0x03</t>
  </si>
  <si>
    <t>Nome da empresa</t>
  </si>
  <si>
    <t>Issue</t>
  </si>
  <si>
    <t>Data</t>
  </si>
  <si>
    <t>Propósito</t>
  </si>
  <si>
    <t>Autor(es)</t>
  </si>
  <si>
    <t>1.0</t>
  </si>
  <si>
    <t xml:space="preserve">Final </t>
  </si>
  <si>
    <t>1.1</t>
  </si>
  <si>
    <t>Tipos de Classificação Atualizados</t>
  </si>
  <si>
    <t>1.2</t>
  </si>
  <si>
    <t>Tipos de classificação atualizados, integridade adicionada e tipos de avaliabilidade, seção de resumo de gerenciamento incluída.</t>
  </si>
  <si>
    <t>1.3</t>
  </si>
  <si>
    <t>Modificado em preparação para atualização de 2012</t>
  </si>
  <si>
    <t>Copyright</t>
  </si>
  <si>
    <t>Organização e Processos relevantes</t>
  </si>
  <si>
    <t>Detalhes dos Ativos</t>
  </si>
  <si>
    <t>Nível de proteção Atual</t>
  </si>
  <si>
    <t>BISO / TISO Assessment</t>
  </si>
  <si>
    <t>BISO/Process Owner Action</t>
  </si>
  <si>
    <t>Nr</t>
  </si>
  <si>
    <t>Unidade e Função/Operação</t>
  </si>
  <si>
    <t>Nome do Processo</t>
  </si>
  <si>
    <t>Dono do Processo</t>
  </si>
  <si>
    <t>Nome do Ativo</t>
  </si>
  <si>
    <t>Descrição do Ativo</t>
  </si>
  <si>
    <t>Tipo de Informação do Ativo[Cópia impressa,arquivo eletrônico(especifique o tipo),mídia ou dispositivo removível(especifique o tipo)]</t>
  </si>
  <si>
    <t>Dados Pessoais (S/N)</t>
  </si>
  <si>
    <t>Dados Pessoais Sensíveis (S/N)</t>
  </si>
  <si>
    <t>Dados Sensíveis de clientes(S/N)</t>
  </si>
  <si>
    <t>Classificação</t>
  </si>
  <si>
    <t>Integridade</t>
  </si>
  <si>
    <t>Disponibilidade</t>
  </si>
  <si>
    <t>Protetor de Ativos (se não Proprietário Funcional)</t>
  </si>
  <si>
    <t>Período de Retenção de Dados</t>
  </si>
  <si>
    <t>Na Origem (descrição)</t>
  </si>
  <si>
    <t>Se a informação for movida (descrição)</t>
  </si>
  <si>
    <t>Security Conclusion</t>
  </si>
  <si>
    <r>
      <rPr>
        <b/>
        <sz val="12"/>
        <rFont val="Arial"/>
        <family val="2"/>
        <charset val="1"/>
      </rPr>
      <t xml:space="preserve">Process Owner Response and Date for Implementation </t>
    </r>
    <r>
      <rPr>
        <sz val="12"/>
        <rFont val="Arial"/>
        <family val="2"/>
        <charset val="1"/>
      </rPr>
      <t>(Evidence is required ie. screenshots or similar where applicable to prove these controls are enforced)</t>
    </r>
  </si>
  <si>
    <t>Exemplo</t>
  </si>
  <si>
    <t>UNIDADE A</t>
  </si>
  <si>
    <t>Novo processo inicial</t>
  </si>
  <si>
    <t>Alguém</t>
  </si>
  <si>
    <t>Novo início de formulário</t>
  </si>
  <si>
    <t>Formulário usado para iniciar o novo processo inicial e enviado para a UNIDADE B via e-mail.</t>
  </si>
  <si>
    <t>Modelo de arquivo .xls</t>
  </si>
  <si>
    <t>Y</t>
  </si>
  <si>
    <t>N</t>
  </si>
  <si>
    <t>Confidencial</t>
  </si>
  <si>
    <t>Médio</t>
  </si>
  <si>
    <t>Baixo</t>
  </si>
  <si>
    <t>UNIDADE B</t>
  </si>
  <si>
    <t>0.5 Anos</t>
  </si>
  <si>
    <r>
      <rPr>
        <sz val="12"/>
        <rFont val="Arial"/>
        <family val="2"/>
        <charset val="1"/>
      </rPr>
      <t xml:space="preserve">It is thought that UNIT A operate on an different network to UNIT B and that emails are therefore routed via the external network.  There is therefore an issue that insecure personal sensitive data is being sent over the public internet. 
</t>
    </r>
    <r>
      <rPr>
        <b/>
        <sz val="12"/>
        <rFont val="Arial"/>
        <family val="2"/>
        <charset val="1"/>
      </rPr>
      <t xml:space="preserve">TISO Conclusion
</t>
    </r>
    <r>
      <rPr>
        <sz val="12"/>
        <rFont val="Arial"/>
        <family val="2"/>
        <charset val="1"/>
      </rPr>
      <t>This communication remains within the WAN. There is no data traversing public networks.
System A and System B need to be subjected to a RAMM (Risk Assessment Management Methodology)</t>
    </r>
  </si>
  <si>
    <t>"Quando o inventário estiver concluído, clique no botão [Gerar análise de lacunas] abaixo para destacar os ativos de informações que exigem uma avaliação de risco.
Sua avaliação de risco precisa verificar se os controles de proteção em vigor para os ativos listados são adequados à sensibilidade dos dados, conforme orientado pela Política de Tratamento de Informações.
Use &lt;Colunas S e T&gt; para registrar as ações necessárias exigidas do proprietário do processo até a conclusão.
[NÃO clique em GERAR ANÁLISE DE LACUNAS novamente, a menos que você tenha criado uma cópia deste documento antecipadamente]"</t>
  </si>
  <si>
    <t>Nível Atual de Proteção</t>
  </si>
  <si>
    <t>1. Unidade de Operação/Função</t>
  </si>
  <si>
    <t>2. Nome do Processo</t>
  </si>
  <si>
    <t>3. Dono do processo</t>
  </si>
  <si>
    <t>4. Nome do Ativo</t>
  </si>
  <si>
    <t>5. Descrição do Ativo</t>
  </si>
  <si>
    <t>7. Tipo de Informação do ativo [Cópia impressa, Arquivo Eletrônico (especificar tipo), mídia/dispositivo removível (especificar tipo)]</t>
  </si>
  <si>
    <t>6. Dados Pessoais (S/N)</t>
  </si>
  <si>
    <t>6.a Dados Pessoais Sensíveis (S/N)</t>
  </si>
  <si>
    <t>6. b Dados Sensíveis de clientes (S/N)</t>
  </si>
  <si>
    <t>8. Classificação</t>
  </si>
  <si>
    <t>8.a Integridade</t>
  </si>
  <si>
    <t>8.b Disponibilidade</t>
  </si>
  <si>
    <t>10. Período de Retenção de Dados</t>
  </si>
  <si>
    <t>10. Na Origem (descrição)</t>
  </si>
  <si>
    <t>11. Se a informação é movida (descrição)</t>
  </si>
  <si>
    <t>Conclusão de segurança</t>
  </si>
  <si>
    <t>Test1</t>
  </si>
  <si>
    <t>Exemplos de processos e informação de ativos</t>
  </si>
  <si>
    <t>Processos Genéricos</t>
  </si>
  <si>
    <t>Informação de Ativo</t>
  </si>
  <si>
    <t>Processos de negócios principais</t>
  </si>
  <si>
    <t>Dados de Produção</t>
  </si>
  <si>
    <t>Processo Orçamentário</t>
  </si>
  <si>
    <t>Documento de orçamento, faturas</t>
  </si>
  <si>
    <t>RH</t>
  </si>
  <si>
    <t>Gerenciamento de recursos</t>
  </si>
  <si>
    <t>Matriz de habilidades, avaliações, detalhes de treinamento, ou seja, registros.</t>
  </si>
  <si>
    <t>Continuidade de Negócio</t>
  </si>
  <si>
    <t>Planos BCP &amp; DR, BIA.</t>
  </si>
  <si>
    <t>Registros de Riscos, Registros de Riscos e Problemas.</t>
  </si>
  <si>
    <t>Auditoria</t>
  </si>
  <si>
    <t>Conformidade</t>
  </si>
  <si>
    <t>Relatórios de incidentes, relatórios de lavagem de dinheiro, informações de proteção de dados, todas as políticas.</t>
  </si>
  <si>
    <t>Contratos</t>
  </si>
  <si>
    <t>Garantia de vendas</t>
  </si>
  <si>
    <t>Informações de preços, RFIs, RFPs, leads de pré-vendas (pipeline).</t>
  </si>
  <si>
    <t>Relatórios/Informações Gerenciais/MIS</t>
  </si>
  <si>
    <t>Qualidade, Produção, Definição de Vendas</t>
  </si>
  <si>
    <t>Gerenciamento de mudanças</t>
  </si>
  <si>
    <t>Todo projeto ou documentação relacionada</t>
  </si>
  <si>
    <t>Gerenciamento de Projetos</t>
  </si>
  <si>
    <t>Relatórios de status do projeto, relatórios de clientes, documentos/especificações internas do projeto.</t>
  </si>
  <si>
    <t xml:space="preserve">Tabela 2- Tipos de Classificação </t>
  </si>
  <si>
    <t>Requisitos de proteção para informações em formato impresso</t>
  </si>
  <si>
    <t>Uso</t>
  </si>
  <si>
    <t>Estritamente confidencial</t>
  </si>
  <si>
    <t>Uso apenas de negócio</t>
  </si>
  <si>
    <t>Público</t>
  </si>
  <si>
    <t>Sem requisitos de segurança</t>
  </si>
  <si>
    <t>Endereçamento</t>
  </si>
  <si>
    <t>Mostre o nome e o endereço dos destinatários no envelope.</t>
  </si>
  <si>
    <t>Requisitos de correspondência determinados pelo proprietário das informações.</t>
  </si>
  <si>
    <t>Armazenamento (por exemplo, arquivo digital, e-mail ou página da web)</t>
  </si>
  <si>
    <t>Deve ser armazenado dentro de unidades de armazenamento trancadas à prova de fogo e água dentro de um escritório trancado. Isso inclui documentos de instância única onde não existem cópias eletrônicas ou em papel.</t>
  </si>
  <si>
    <t>Escritório seguro ou outro local. A sala não precisa ser trancada se o acesso ao prédio ou andar for restrito a funcionários e não funcionários autorizados.</t>
  </si>
  <si>
    <t>Transporte</t>
  </si>
  <si>
    <t>Em mãos ou correio aprovado.</t>
  </si>
  <si>
    <t>As informações devem ser descartadas com segurança usando trituradores de tiras ou lixeiras confidenciais certificadas para destruição segura.</t>
  </si>
  <si>
    <t>As informações consideradas apropriadas para divulgação pública podem ser descartadas usando instalações de resíduos de papel fornecidas localmente. Se houver alguma dúvida sobre se as informações são comercialmente ou pessoalmente sensíveis, use trituradores de tiras ou lixeiras confidenciais certificadas para destruição segura.</t>
  </si>
  <si>
    <t>Requisitos de proteção para informações em formato eletrônico (dados de computadores)</t>
  </si>
  <si>
    <t>Estritamente Confidencial</t>
  </si>
  <si>
    <t>Uso apenas de Negócio</t>
  </si>
  <si>
    <t>Transmissão</t>
  </si>
  <si>
    <t>As informações devem ser transmitidas de forma criptografada (usando um método aprovado pela empresa). A transmissão deve ter acesso controlado, por exemplo. login de conta protegido por senha.</t>
  </si>
  <si>
    <t>As informações devem ser transmitidas de forma criptografada (usando um método aprovado pela empresa). As transmissões devem ter acesso controlado, por exemplo. login de conta protegido por senha.</t>
  </si>
  <si>
    <t>As informações devem ser transmitidas para uma conta verificada (endereço de e-mail ou ID de login).</t>
  </si>
  <si>
    <t>Armazenado em um diretório ou pasta com acesso restrito, por exemplo, proteção por senha.</t>
  </si>
  <si>
    <t>Mídia removível (exemplo, USB,CD, laptop, Blackberry)</t>
  </si>
  <si>
    <t>Escritório seguro ou outro local. A sala não precisa ser trancada se o acesso ao andar for restrito a funcionários e não funcionários autorizados.</t>
  </si>
  <si>
    <t>Descarte de informações eletrônicas (arquivo digital).</t>
  </si>
  <si>
    <t>Além de remover a entrada de diretório para o arquivo, o espaço usado pelo arquivo deve ser substituído usando soluções aprovadas de última geração para a remoção permanente de dados.</t>
  </si>
  <si>
    <t>Remoção de entrada de diretório para arquivo.</t>
  </si>
  <si>
    <t>Descarte de meio físico (por exemplo, discos rígidos/drives).</t>
  </si>
  <si>
    <t>As informações devem ser descartadas com segurança usando soluções aprovadas de última geração para a remoção permanente de dados.
Deve ser mantido um registro de como, quando e por quem as informações foram destruídas (para fornecer uma trilha de auditoria).</t>
  </si>
  <si>
    <t>A mídia deve ser descartada com segurança usando soluções aprovadas de última geração para a remoção permanente de dados (por exemplo, trituração ou destruição física).</t>
  </si>
  <si>
    <t>Tabela 3- Tipos de Integridade</t>
  </si>
  <si>
    <t>Nível de integridade</t>
  </si>
  <si>
    <t>Definição</t>
  </si>
  <si>
    <t>Exemplos/impacto de modificações não autorizadas</t>
  </si>
  <si>
    <t>Alto</t>
  </si>
  <si>
    <t>100% livre de erros</t>
  </si>
  <si>
    <t>Igual à classificação de confidencialidade para informações estritamente confidenciais.</t>
  </si>
  <si>
    <t>96-99% livre de erros</t>
  </si>
  <si>
    <t>Igual à classificação de confidencialidade para informações confidenciais.</t>
  </si>
  <si>
    <t>90-95 livre de erros</t>
  </si>
  <si>
    <t>Igual à classificação de confidencialidade para informações somente para uso comercial.</t>
  </si>
  <si>
    <t>Tabela 4- Tipos de Disponibilidade</t>
  </si>
  <si>
    <t>Nível de Disponibilidade</t>
  </si>
  <si>
    <t>Impacto de não disponibilidade</t>
  </si>
  <si>
    <t>Sem interrupção dento de 0.5 dias</t>
  </si>
  <si>
    <t>Impacto adverso severo</t>
  </si>
  <si>
    <t>sem interrupção de acesso além de 1 dia</t>
  </si>
  <si>
    <t>Impacto adverso significante</t>
  </si>
  <si>
    <t>Sem interrupção de acesso além de 7 dias</t>
  </si>
  <si>
    <t>Limitado impacto adverso</t>
  </si>
  <si>
    <t>Tabela 5- Exemplo de dados sensíveis</t>
  </si>
  <si>
    <t>Pessoal, Dados Sensíveis Pessoais, e Dados Sensíveis de Clientes</t>
  </si>
  <si>
    <t>Detalhe do Ativo</t>
  </si>
  <si>
    <t>Descrição</t>
  </si>
  <si>
    <t>Dados Pessoais</t>
  </si>
  <si>
    <t>Dados Pessoais Sensíveis</t>
  </si>
  <si>
    <t>Quaisquer dados mantidos eletronicamente ou manualmente, que se relacionem diretamente com um indivíduo vivo e que abranjam especificamente (incluindo): origem racial ou étnica; opiniões políticas; crenças religiosas ou outras; Filiação ao Sindicato; saúde; vida sexual; alegações, processos ou condenações criminais.</t>
  </si>
  <si>
    <t>Dados Sensíveis de clientes</t>
  </si>
  <si>
    <t>Dados que contêm informações específicas de um cliente, incluindo, entre outros, detalhes da conta bancária, IDs de usuário e senhas, lista de funcionários.</t>
  </si>
  <si>
    <r>
      <rPr>
        <sz val="12"/>
        <rFont val="Arial"/>
        <family val="2"/>
        <charset val="1"/>
      </rPr>
      <t>Once the Inventory is complete click the</t>
    </r>
    <r>
      <rPr>
        <sz val="12"/>
        <color rgb="FFFF0000"/>
        <rFont val="Arial"/>
        <family val="2"/>
        <charset val="1"/>
      </rPr>
      <t xml:space="preserve"> [Generate Gap Analysis] </t>
    </r>
    <r>
      <rPr>
        <sz val="12"/>
        <rFont val="Arial"/>
        <family val="2"/>
        <charset val="1"/>
      </rPr>
      <t xml:space="preserve">button below to highlight those information assets which require a risk assessment.
Your risk assessment needs to verify that the protection controls in place for the assets listed are adequate to the sensitivity of the data as guided by the </t>
    </r>
    <r>
      <rPr>
        <i/>
        <sz val="12"/>
        <rFont val="Arial"/>
        <family val="2"/>
        <charset val="1"/>
      </rPr>
      <t>Information Handling Policy</t>
    </r>
    <r>
      <rPr>
        <sz val="12"/>
        <rFont val="Arial"/>
        <family val="2"/>
        <charset val="1"/>
      </rPr>
      <t xml:space="preserve">.
Use &lt;Columns S and T&gt; to record necessary actions required of the process owner until complete. 
</t>
    </r>
    <r>
      <rPr>
        <b/>
        <sz val="12"/>
        <rFont val="Arial"/>
        <family val="2"/>
        <charset val="1"/>
      </rPr>
      <t>[</t>
    </r>
    <r>
      <rPr>
        <b/>
        <i/>
        <sz val="12"/>
        <rFont val="Arial"/>
        <family val="2"/>
        <charset val="1"/>
      </rPr>
      <t>DO NOT click GENERATE GAP ANALYSIS again unless you have created a copy of this document beforehand</t>
    </r>
    <r>
      <rPr>
        <b/>
        <sz val="12"/>
        <rFont val="Arial"/>
        <family val="2"/>
        <charset val="1"/>
      </rPr>
      <t>]</t>
    </r>
  </si>
  <si>
    <t>Organisation &amp; relevant process</t>
  </si>
  <si>
    <t>Information Asset Details</t>
  </si>
  <si>
    <t>Current Level of Protection</t>
  </si>
  <si>
    <r>
      <rPr>
        <b/>
        <sz val="12"/>
        <rFont val="Arial"/>
        <family val="2"/>
        <charset val="1"/>
      </rPr>
      <t xml:space="preserve">1. Operating Unit / Function </t>
    </r>
    <r>
      <rPr>
        <sz val="12"/>
        <rFont val="Arial"/>
        <family val="2"/>
        <charset val="1"/>
      </rPr>
      <t>(e.g. XIS, XBS, XCS, ISW, XHS etc..)</t>
    </r>
  </si>
  <si>
    <t>2. Process name</t>
  </si>
  <si>
    <t>3. Process owner</t>
  </si>
  <si>
    <t>4. Name of Asset</t>
  </si>
  <si>
    <t>5. Description of Asset</t>
  </si>
  <si>
    <r>
      <rPr>
        <b/>
        <sz val="12"/>
        <rFont val="Arial"/>
        <family val="2"/>
        <charset val="1"/>
      </rPr>
      <t xml:space="preserve">7. Type of Information Asset </t>
    </r>
    <r>
      <rPr>
        <sz val="12"/>
        <rFont val="Arial"/>
        <family val="2"/>
        <charset val="1"/>
      </rPr>
      <t>[Hard copy, Electronic File (specify type), removable media/device (specify type)]</t>
    </r>
  </si>
  <si>
    <r>
      <rPr>
        <b/>
        <sz val="12"/>
        <rFont val="Arial"/>
        <family val="2"/>
        <charset val="1"/>
      </rPr>
      <t xml:space="preserve">6. Personal Data </t>
    </r>
    <r>
      <rPr>
        <sz val="12"/>
        <rFont val="Arial"/>
        <family val="2"/>
        <charset val="1"/>
      </rPr>
      <t>(Y/N)</t>
    </r>
  </si>
  <si>
    <r>
      <rPr>
        <b/>
        <sz val="12"/>
        <rFont val="Arial"/>
        <family val="2"/>
        <charset val="1"/>
      </rPr>
      <t xml:space="preserve">6.a Personal Sensitive Data </t>
    </r>
    <r>
      <rPr>
        <sz val="12"/>
        <rFont val="Arial"/>
        <family val="2"/>
        <charset val="1"/>
      </rPr>
      <t>(Y/N)</t>
    </r>
  </si>
  <si>
    <r>
      <rPr>
        <b/>
        <sz val="12"/>
        <rFont val="Arial"/>
        <family val="2"/>
        <charset val="1"/>
      </rPr>
      <t xml:space="preserve">6. b Sensitive Customer Data </t>
    </r>
    <r>
      <rPr>
        <sz val="12"/>
        <rFont val="Arial"/>
        <family val="2"/>
        <charset val="1"/>
      </rPr>
      <t>(Y/N)</t>
    </r>
  </si>
  <si>
    <t>8. Classification</t>
  </si>
  <si>
    <t>8.a Integrity</t>
  </si>
  <si>
    <t>8.b Availability</t>
  </si>
  <si>
    <r>
      <rPr>
        <b/>
        <sz val="12"/>
        <rFont val="Arial"/>
        <family val="2"/>
        <charset val="1"/>
      </rPr>
      <t xml:space="preserve">9. Asset Custodian
</t>
    </r>
    <r>
      <rPr>
        <sz val="12"/>
        <rFont val="Arial"/>
        <family val="2"/>
        <charset val="1"/>
      </rPr>
      <t>(if NOT Functional Owner)</t>
    </r>
  </si>
  <si>
    <t>10. Data Retention Period</t>
  </si>
  <si>
    <r>
      <rPr>
        <b/>
        <sz val="12"/>
        <rFont val="Arial"/>
        <family val="2"/>
        <charset val="1"/>
      </rPr>
      <t xml:space="preserve">10. At Origin </t>
    </r>
    <r>
      <rPr>
        <sz val="12"/>
        <rFont val="Arial"/>
        <family val="2"/>
        <charset val="1"/>
      </rPr>
      <t>(description)</t>
    </r>
  </si>
  <si>
    <r>
      <rPr>
        <b/>
        <sz val="12"/>
        <rFont val="Arial"/>
        <family val="2"/>
        <charset val="1"/>
      </rPr>
      <t xml:space="preserve">11. If Information is Moved </t>
    </r>
    <r>
      <rPr>
        <sz val="12"/>
        <rFont val="Arial"/>
        <family val="2"/>
        <charset val="1"/>
      </rPr>
      <t>(description)</t>
    </r>
  </si>
  <si>
    <t>XIS</t>
  </si>
  <si>
    <t>SALES COLLATERAL</t>
  </si>
  <si>
    <t>BPO/BUSINESS CHANGE</t>
  </si>
  <si>
    <t xml:space="preserve">PRICING INFORMATION, RFI's </t>
  </si>
  <si>
    <t>ANALYSIS, TRACKING, PLANNING, HISTORICAL VIEW</t>
  </si>
  <si>
    <t>EMAIL, PDF, XLS, WORD DOC</t>
  </si>
  <si>
    <t>Confidential</t>
  </si>
  <si>
    <t>Medium</t>
  </si>
  <si>
    <t>Business Change</t>
  </si>
  <si>
    <t>Over 5 Years</t>
  </si>
  <si>
    <t>REPOSITORY PASSWORD PROTECTED. ALSO ON SHARED DRIVE, PAPER COPIES SHREDDED AFTER USE</t>
  </si>
  <si>
    <t>PAPER COPIES SHREDDED AFTER USE</t>
  </si>
  <si>
    <t>Security Control in place</t>
  </si>
  <si>
    <t>No action</t>
  </si>
  <si>
    <t>CHANGE MANAGEMENT</t>
  </si>
  <si>
    <t>PROJECT DOCUMENTATION incl SCR</t>
  </si>
  <si>
    <t>ANALYSIS, TRACKING, PLANNING</t>
  </si>
  <si>
    <t>Business use only</t>
  </si>
  <si>
    <t>PROJECT MANAGEMENT</t>
  </si>
  <si>
    <t>PROJECT STATUS REPORTS</t>
  </si>
  <si>
    <t>Status Report</t>
  </si>
  <si>
    <t xml:space="preserve">Classification Type Summary </t>
  </si>
  <si>
    <t>Classification Type</t>
  </si>
  <si>
    <t>Total</t>
  </si>
  <si>
    <t>Strictly Confidential</t>
  </si>
  <si>
    <t>Business Use Only</t>
  </si>
  <si>
    <t>Public</t>
  </si>
  <si>
    <t>Management Summary</t>
  </si>
  <si>
    <t>[Complete after review and distribute]</t>
  </si>
  <si>
    <t>https://www.linkedin.com/in/luis-scienza/</t>
  </si>
  <si>
    <t>Contribuição de tradução para o kit de ferramentas da ISO27k por Luis Padilha</t>
  </si>
  <si>
    <t>SGSI Modelo de Inventário de Ativos de Informações</t>
  </si>
  <si>
    <t>Data da Assinatura:</t>
  </si>
  <si>
    <t>Data de atualização:</t>
  </si>
  <si>
    <t>CISO:</t>
  </si>
  <si>
    <t>"A aprovação acima indica que o CISO autorizou o conteúdo deste documento uma vez concluído junto com a área de negócio (por exemplo pelo gerente de departamento). Um registro dessa aprovação estará disponível para fins de auditoria."</t>
  </si>
  <si>
    <t>Tabela 1- exemplos de Processos</t>
  </si>
  <si>
    <t>Armazenamento</t>
  </si>
  <si>
    <t>Descarte</t>
  </si>
  <si>
    <t>S</t>
  </si>
  <si>
    <t>Área</t>
  </si>
  <si>
    <t>Gerente da Área</t>
  </si>
  <si>
    <t>Assinado pelo CISO e Gerente da Área</t>
  </si>
  <si>
    <t xml:space="preserve">Stephen McColl </t>
  </si>
  <si>
    <t>This work is copyright © 2012, ISO27k Forum.  It is licensed under the Creative Commons Attribution-Noncommercial-Share Alike 3.0 License.  You are welcome to reproduce, circulate, use and create derivative works from this provided that (a) it is not sold or incorporated into a commercial product, (b) it is properly attributed to the ISO27k Forum at www.ISO27001security.com, and (c) if shared, derivative works are shared under the same terms as this.</t>
  </si>
  <si>
    <t>CV, cartas proposta, referências, informações pessoais sensíveis, informações disciplinares, informações de pensão, processo de mudança de pessoal.</t>
  </si>
  <si>
    <t>Gerenciamento de Riscos</t>
  </si>
  <si>
    <t>Relatórios SAS70, quaisquer relatórios de auditoria interna ou externa.</t>
  </si>
  <si>
    <t>Contratos de serviço, definições de serviço, contratos,NDAs.</t>
  </si>
  <si>
    <t>Rotulagem</t>
  </si>
  <si>
    <r>
      <t>Cada página deve ser marcada como</t>
    </r>
    <r>
      <rPr>
        <b/>
        <sz val="10"/>
        <rFont val="Frutiger 45 Light"/>
      </rPr>
      <t xml:space="preserve"> ESTRITAMENTE CONFIDENCIAL</t>
    </r>
    <r>
      <rPr>
        <sz val="10"/>
        <rFont val="Frutiger 45 Light"/>
        <charset val="1"/>
      </rPr>
      <t>.</t>
    </r>
  </si>
  <si>
    <r>
      <t xml:space="preserve">Cada página deve ser marcada como </t>
    </r>
    <r>
      <rPr>
        <b/>
        <sz val="10"/>
        <rFont val="Frutiger 45 Light"/>
      </rPr>
      <t>CONFIDENCIAL</t>
    </r>
    <r>
      <rPr>
        <sz val="10"/>
        <rFont val="Frutiger 45 Light"/>
        <charset val="1"/>
      </rPr>
      <t>.</t>
    </r>
  </si>
  <si>
    <r>
      <t>Cada página deve ser marcada apenas para</t>
    </r>
    <r>
      <rPr>
        <b/>
        <sz val="10"/>
        <rFont val="Frutiger 45 Light"/>
      </rPr>
      <t xml:space="preserve"> uso comercial</t>
    </r>
    <r>
      <rPr>
        <sz val="10"/>
        <rFont val="Frutiger 45 Light"/>
        <charset val="1"/>
      </rPr>
      <t>.</t>
    </r>
  </si>
  <si>
    <r>
      <t>O meio de armazenamento deve ter dois envelopes/camadas de embalagem.
O envelope/camada externa deve:
-Mostrar o nome e endereço dos destinatários.
-Seja marcado</t>
    </r>
    <r>
      <rPr>
        <b/>
        <sz val="10"/>
        <rFont val="Frutiger 45 Light"/>
      </rPr>
      <t xml:space="preserve"> PARA SER ABERTO APENAS PELO DESTINATÁRIO</t>
    </r>
    <r>
      <rPr>
        <sz val="10"/>
        <rFont val="Frutiger 45 Light"/>
        <charset val="1"/>
      </rPr>
      <t xml:space="preserve">
-Mostrar o nome e número de telefone do remetente da informação.
O envelope interno deve ser rotulado como</t>
    </r>
    <r>
      <rPr>
        <b/>
        <sz val="10"/>
        <rFont val="Frutiger 45 Light"/>
      </rPr>
      <t xml:space="preserve"> ESTRITAMENTE CONFIDENCIAL</t>
    </r>
    <r>
      <rPr>
        <sz val="10"/>
        <rFont val="Frutiger 45 Light"/>
        <charset val="1"/>
      </rPr>
      <t>.</t>
    </r>
  </si>
  <si>
    <r>
      <t xml:space="preserve">O meio de armazenamento deve ter dois envelopes/camadas de embalagem.
O envelope/camada externa deve:
-Mostrar o nome e endereço dos destinatários.
-Seja marcado </t>
    </r>
    <r>
      <rPr>
        <b/>
        <sz val="10"/>
        <color rgb="FF000000"/>
        <rFont val="Frutiger 45 Light"/>
      </rPr>
      <t>PARA SER ABERTO APENAS PELO DESTINATÁRIO</t>
    </r>
    <r>
      <rPr>
        <sz val="10"/>
        <color rgb="FF000000"/>
        <rFont val="Frutiger 45 Light"/>
        <charset val="1"/>
      </rPr>
      <t xml:space="preserve">
-Mostrar o nome e número de telefone do remetente da informação.
O envelope interno deve ser rotulado como </t>
    </r>
    <r>
      <rPr>
        <b/>
        <sz val="10"/>
        <color rgb="FF000000"/>
        <rFont val="Frutiger 45 Light"/>
      </rPr>
      <t xml:space="preserve">CONFIDENCIAL. </t>
    </r>
  </si>
  <si>
    <r>
      <t xml:space="preserve">Sem marcação de classificação no envelope; Marcação </t>
    </r>
    <r>
      <rPr>
        <b/>
        <sz val="10"/>
        <rFont val="Frutiger 45 Light"/>
      </rPr>
      <t>ESTRITAMENTE CONFIDENCIAL</t>
    </r>
    <r>
      <rPr>
        <sz val="10"/>
        <rFont val="Frutiger 45 Light"/>
        <charset val="1"/>
      </rPr>
      <t xml:space="preserve"> na folha de rosto; confirmação de recebimento a critério do proprietário da informação.</t>
    </r>
  </si>
  <si>
    <r>
      <t xml:space="preserve">Sem marcação de classificação no envelope; Marcação </t>
    </r>
    <r>
      <rPr>
        <b/>
        <sz val="10"/>
        <color rgb="FF000000"/>
        <rFont val="Frutiger 45 Light"/>
      </rPr>
      <t>CONFIDENCIA</t>
    </r>
    <r>
      <rPr>
        <sz val="10"/>
        <color rgb="FF000000"/>
        <rFont val="Frutiger 45 Light"/>
        <charset val="1"/>
      </rPr>
      <t>L na folha de rosto; confirmação de recebimento a critério.</t>
    </r>
  </si>
  <si>
    <t>Envio por correspondência</t>
  </si>
  <si>
    <t>Deve ser armazenado em unidades de armazenamento restritas quando não estiver na presença do  emissor ou destinatário.</t>
  </si>
  <si>
    <t>Correio registrado</t>
  </si>
  <si>
    <t>Serviço normal de correio</t>
  </si>
  <si>
    <t>Rotulagem Eletrônica</t>
  </si>
  <si>
    <r>
      <t xml:space="preserve">Deve ser marcado </t>
    </r>
    <r>
      <rPr>
        <b/>
        <sz val="10"/>
        <rFont val="Frutiger 45 Light"/>
      </rPr>
      <t xml:space="preserve">Uso comercial </t>
    </r>
    <r>
      <rPr>
        <sz val="10"/>
        <rFont val="Frutiger 45 Light"/>
        <charset val="1"/>
      </rPr>
      <t>apenas na linha de assunto ou no cabeçalho/rodapé.</t>
    </r>
  </si>
  <si>
    <r>
      <t xml:space="preserve">O meio de informação deve ser marcado </t>
    </r>
    <r>
      <rPr>
        <b/>
        <sz val="10"/>
        <rFont val="Frutiger 45 Light"/>
      </rPr>
      <t>ESTRITAMENTE CONFIDENCIA</t>
    </r>
    <r>
      <rPr>
        <sz val="10"/>
        <rFont val="Frutiger 45 Light"/>
        <charset val="1"/>
      </rPr>
      <t>L na linha de assunto ou no cabeçalho/rodapé.</t>
    </r>
  </si>
  <si>
    <r>
      <t xml:space="preserve">Quando o meio de informação não for mantido permanentemente em armazenamento trancado ou em um ambiente seguro, ele deve ser rotulado como </t>
    </r>
    <r>
      <rPr>
        <b/>
        <sz val="10"/>
        <rFont val="Frutiger 45 Light"/>
      </rPr>
      <t>CONFIDENCIAL</t>
    </r>
    <r>
      <rPr>
        <sz val="10"/>
        <rFont val="Frutiger 45 Light"/>
        <charset val="1"/>
      </rPr>
      <t xml:space="preserve"> na linha de assunto ou no cabeçalho/rodapé.</t>
    </r>
  </si>
  <si>
    <t>Armazenado em um diretório ou pasta com controle de acesso, por exemplo, proteção por senha. Informação deve ser armazenada criptografada usado métodos aprovados</t>
  </si>
  <si>
    <t>Armazenado em um diretório ou pasta com controle de acesso, por exemplo, proteção por senha. Informação deve ser armazenada criptografada</t>
  </si>
  <si>
    <t>Todas as mídias removíveis devem ter criptografia aplicada, incluindo dispositivos móveis, por exemplo. Notebooks, PDAs, iPhones, Blackberries, USB Sticks. Os discos rígidos do notebook devem ser criptografados e o laptop deve ser seguro para as mesas usando, por exemplo, Fechaduras Kensington.</t>
  </si>
  <si>
    <t>Todas as mídias removíveis devem ter criptografia aplicada, incluindo dispositivos móveis, por exemplo.  Notebooks, PDAs, iPhones, Blackberries, USB Sticks. Os discos rígidos do notebook devem ser criptografados e o notebook deve ser seguro para as mesas usando, por exemplo, Fechaduras Kensington.</t>
  </si>
  <si>
    <t>As informações devem ser descartadas com segurança usando trituradores de tiras ou lixeiras confidenciais certificadas para destruição segura. Deve ser mantido um registro de como, quando e por quem as informações foram destruídas (para fornecer uma trilha de auditoria).</t>
  </si>
  <si>
    <t>Um indivíduo deve ser capaz de ser identificado a partir desses dados ou um número ou fontes de dados
- Um exemplo é um endereço de e-mail simples, como john.smith@company.com. Sabemos que existe uma empresa e que existe um indivíduo chamado john smith que trabalha para eles para que possa ser identificado pelo endereço de e-mail, portanto, o endereço de e-mail é suficiente para sder considerado dado pessoal.</t>
  </si>
  <si>
    <r>
      <t xml:space="preserve">9. Custodiante do Ativo
</t>
    </r>
    <r>
      <rPr>
        <sz val="12"/>
        <color rgb="FF000000"/>
        <rFont val="Arial"/>
        <family val="2"/>
      </rPr>
      <t>( se não o Dono do ativo)</t>
    </r>
  </si>
  <si>
    <t xml:space="preserve">Avaliação CISO </t>
  </si>
  <si>
    <t xml:space="preserve">Ação CISO/Dono do Processo </t>
  </si>
  <si>
    <t>Resposta do Dono do Processo e Data para Implementação (É necessária evidência, ou seja, capturas de tela ou similares, quando aplicável, para provar que esses controles são aplicados)</t>
  </si>
  <si>
    <t>No computador do gerente de linha, armazenado em rede. Para alguns gerentes de linhas, os arquivos são armazenados em seus notebook. É improvável que seja protegido por senha.</t>
  </si>
  <si>
    <t>Formulário é enviado por e-mail para UNIDADE B usando sistema de e-mail interno. É, então, usado no Sistema A e Sistema B pela UNIDADE B.</t>
  </si>
  <si>
    <t>Análise de Gap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</si>
</sst>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m/yyyy"/>
    <numFmt numFmtId="166" formatCode="d/mmm/yy"/>
  </numFmts>
  <fonts count="51">
    <font>
      <sz val="11"/>
      <color rgb="FF000000"/>
      <name val="Calibri"/>
      <family val="2"/>
      <charset val="1"/>
    </font>
    <font>
      <b/>
      <sz val="24"/>
      <color rgb="FF000000"/>
      <name val="Perpetua"/>
      <family val="2"/>
      <charset val="1"/>
    </font>
    <font>
      <sz val="11"/>
      <color rgb="FFFFFFFF"/>
      <name val="Perpetua"/>
      <family val="2"/>
      <charset val="1"/>
    </font>
    <font>
      <sz val="10"/>
      <name val="Arial"/>
      <family val="2"/>
      <charset val="1"/>
    </font>
    <font>
      <sz val="10"/>
      <name val="Frutiger 45 Light"/>
      <charset val="1"/>
    </font>
    <font>
      <b/>
      <sz val="12"/>
      <color rgb="FF000000"/>
      <name val="Arial"/>
      <family val="2"/>
      <charset val="1"/>
    </font>
    <font>
      <b/>
      <sz val="10"/>
      <color rgb="FF000000"/>
      <name val="Arial"/>
      <family val="2"/>
      <charset val="1"/>
    </font>
    <font>
      <u/>
      <sz val="11"/>
      <color rgb="FF0000FF"/>
      <name val="Calibri"/>
      <family val="2"/>
      <charset val="1"/>
    </font>
    <font>
      <i/>
      <sz val="10"/>
      <color rgb="FF000000"/>
      <name val="Arial"/>
      <family val="2"/>
      <charset val="1"/>
    </font>
    <font>
      <sz val="8"/>
      <color rgb="FF000000"/>
      <name val="Arial"/>
      <family val="2"/>
      <charset val="1"/>
    </font>
    <font>
      <b/>
      <sz val="16"/>
      <color rgb="FF000000"/>
      <name val="Arial"/>
      <family val="2"/>
      <charset val="1"/>
    </font>
    <font>
      <b/>
      <sz val="8"/>
      <color rgb="FF000000"/>
      <name val="Arial"/>
      <family val="2"/>
      <charset val="1"/>
    </font>
    <font>
      <b/>
      <sz val="28"/>
      <color rgb="FF000000"/>
      <name val="Arial"/>
      <family val="2"/>
      <charset val="1"/>
    </font>
    <font>
      <b/>
      <sz val="11"/>
      <color rgb="FF000000"/>
      <name val="Arial"/>
      <family val="2"/>
      <charset val="1"/>
    </font>
    <font>
      <sz val="12"/>
      <color rgb="FF000000"/>
      <name val="Arial"/>
      <family val="2"/>
      <charset val="1"/>
    </font>
    <font>
      <b/>
      <sz val="9"/>
      <color rgb="FF000000"/>
      <name val="Arial"/>
      <family val="2"/>
      <charset val="1"/>
    </font>
    <font>
      <sz val="10"/>
      <color rgb="FF000000"/>
      <name val="Arial"/>
      <family val="2"/>
      <charset val="1"/>
    </font>
    <font>
      <b/>
      <sz val="14"/>
      <color rgb="FF000000"/>
      <name val="Arial"/>
      <family val="2"/>
      <charset val="1"/>
    </font>
    <font>
      <sz val="14"/>
      <color rgb="FF000000"/>
      <name val="Arial"/>
      <family val="2"/>
      <charset val="1"/>
    </font>
    <font>
      <sz val="48"/>
      <name val="Arial"/>
      <family val="2"/>
      <charset val="1"/>
    </font>
    <font>
      <sz val="12"/>
      <name val="Arial"/>
      <family val="2"/>
      <charset val="1"/>
    </font>
    <font>
      <b/>
      <sz val="12"/>
      <name val="Arial"/>
      <family val="2"/>
      <charset val="1"/>
    </font>
    <font>
      <b/>
      <sz val="10"/>
      <name val="Arial"/>
      <family val="2"/>
      <charset val="1"/>
    </font>
    <font>
      <b/>
      <sz val="12"/>
      <color rgb="FFFF0000"/>
      <name val="Arial"/>
      <family val="2"/>
      <charset val="1"/>
    </font>
    <font>
      <sz val="8"/>
      <name val="Arial"/>
      <family val="2"/>
      <charset val="1"/>
    </font>
    <font>
      <sz val="8"/>
      <color rgb="FF000000"/>
      <name val="Calibri"/>
      <family val="2"/>
      <charset val="1"/>
    </font>
    <font>
      <b/>
      <sz val="12"/>
      <color rgb="FF000000"/>
      <name val="Arial"/>
      <family val="2"/>
    </font>
    <font>
      <sz val="12"/>
      <color rgb="FF000000"/>
      <name val="Arial"/>
      <family val="2"/>
    </font>
    <font>
      <b/>
      <sz val="8"/>
      <name val="Arial"/>
      <family val="2"/>
      <charset val="1"/>
    </font>
    <font>
      <b/>
      <sz val="26"/>
      <name val="Frutiger 45 Light"/>
      <charset val="1"/>
    </font>
    <font>
      <b/>
      <sz val="14"/>
      <name val="Frutiger 45 Light"/>
      <charset val="1"/>
    </font>
    <font>
      <b/>
      <sz val="12"/>
      <name val="Frutiger 45 Light"/>
      <charset val="1"/>
    </font>
    <font>
      <i/>
      <sz val="11"/>
      <name val="Frutiger 45 Light"/>
      <charset val="1"/>
    </font>
    <font>
      <sz val="11"/>
      <name val="Frutiger 45 Light"/>
      <charset val="1"/>
    </font>
    <font>
      <b/>
      <sz val="12"/>
      <color rgb="FF000000"/>
      <name val="Frutiger 45 Light"/>
      <charset val="1"/>
    </font>
    <font>
      <sz val="8"/>
      <color rgb="FF000000"/>
      <name val="Frutiger 45 Light"/>
      <charset val="1"/>
    </font>
    <font>
      <i/>
      <sz val="12"/>
      <name val="Frutiger 45 Light"/>
      <charset val="1"/>
    </font>
    <font>
      <sz val="10"/>
      <color rgb="FF000000"/>
      <name val="Frutiger 45 Light"/>
      <charset val="1"/>
    </font>
    <font>
      <i/>
      <sz val="12"/>
      <name val="Arial"/>
      <family val="2"/>
      <charset val="1"/>
    </font>
    <font>
      <sz val="12"/>
      <color rgb="FFFF0000"/>
      <name val="Arial"/>
      <family val="2"/>
      <charset val="1"/>
    </font>
    <font>
      <b/>
      <i/>
      <sz val="12"/>
      <name val="Arial"/>
      <family val="2"/>
      <charset val="1"/>
    </font>
    <font>
      <b/>
      <sz val="18"/>
      <color rgb="FFFFFFFF"/>
      <name val="Arial"/>
      <family val="2"/>
      <charset val="1"/>
    </font>
    <font>
      <b/>
      <sz val="10"/>
      <color rgb="FFFFFFFF"/>
      <name val="Arial"/>
      <family val="2"/>
      <charset val="1"/>
    </font>
    <font>
      <sz val="10"/>
      <color rgb="FFFFFFFF"/>
      <name val="Arial"/>
      <family val="2"/>
      <charset val="1"/>
    </font>
    <font>
      <b/>
      <sz val="8"/>
      <color rgb="FFFFFFFF"/>
      <name val="Arial"/>
      <family val="2"/>
      <charset val="1"/>
    </font>
    <font>
      <sz val="8"/>
      <name val="Arial Narrow"/>
      <family val="2"/>
      <charset val="1"/>
    </font>
    <font>
      <sz val="8"/>
      <color rgb="FFFFFFFF"/>
      <name val="Arial Narrow"/>
      <family val="2"/>
      <charset val="1"/>
    </font>
    <font>
      <sz val="8"/>
      <name val="Tahoma"/>
      <family val="2"/>
      <charset val="1"/>
    </font>
    <font>
      <sz val="11"/>
      <color rgb="FF000000"/>
      <name val="Calibri"/>
      <family val="2"/>
    </font>
    <font>
      <b/>
      <sz val="10"/>
      <name val="Frutiger 45 Light"/>
    </font>
    <font>
      <b/>
      <sz val="10"/>
      <color rgb="FF000000"/>
      <name val="Frutiger 45 Light"/>
    </font>
  </fonts>
  <fills count="16">
    <fill>
      <patternFill patternType="none"/>
    </fill>
    <fill>
      <patternFill patternType="gray125"/>
    </fill>
    <fill>
      <patternFill patternType="solid">
        <fgColor rgb="FFC0C0C0"/>
        <bgColor rgb="FFCCCCFF"/>
      </patternFill>
    </fill>
    <fill>
      <patternFill patternType="solid">
        <fgColor rgb="FF993300"/>
        <bgColor rgb="FF993366"/>
      </patternFill>
    </fill>
    <fill>
      <patternFill patternType="solid">
        <fgColor rgb="FF558ED5"/>
        <bgColor rgb="FF808080"/>
      </patternFill>
    </fill>
    <fill>
      <patternFill patternType="solid">
        <fgColor rgb="FFFFFFFF"/>
        <bgColor rgb="FFFFFFCC"/>
      </patternFill>
    </fill>
    <fill>
      <patternFill patternType="solid">
        <fgColor rgb="FFFFFF99"/>
        <bgColor rgb="FFFFFFCC"/>
      </patternFill>
    </fill>
    <fill>
      <patternFill patternType="solid">
        <fgColor rgb="FFFFCC99"/>
        <bgColor rgb="FFC0C0C0"/>
      </patternFill>
    </fill>
    <fill>
      <patternFill patternType="solid">
        <fgColor rgb="FFFFCC00"/>
        <bgColor rgb="FFFFFF00"/>
      </patternFill>
    </fill>
    <fill>
      <patternFill patternType="solid">
        <fgColor rgb="FF99CCFF"/>
        <bgColor rgb="FFCCCCFF"/>
      </patternFill>
    </fill>
    <fill>
      <patternFill patternType="solid">
        <fgColor rgb="FF99CC00"/>
        <bgColor rgb="FFFFCC00"/>
      </patternFill>
    </fill>
    <fill>
      <patternFill patternType="solid">
        <fgColor rgb="FF0000FF"/>
        <bgColor rgb="FF0000FF"/>
      </patternFill>
    </fill>
    <fill>
      <patternFill patternType="solid">
        <fgColor rgb="FF00CCFF"/>
        <bgColor rgb="FF33CCCC"/>
      </patternFill>
    </fill>
    <fill>
      <patternFill patternType="solid">
        <fgColor rgb="FF333399"/>
        <bgColor rgb="FF003366"/>
      </patternFill>
    </fill>
    <fill>
      <patternFill patternType="solid">
        <fgColor rgb="FF808080"/>
        <bgColor rgb="FF969696"/>
      </patternFill>
    </fill>
    <fill>
      <patternFill patternType="solid">
        <fgColor theme="0"/>
        <bgColor indexed="64"/>
      </patternFill>
    </fill>
  </fills>
  <borders count="66">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thin">
        <color auto="1"/>
      </top>
      <bottom style="medium">
        <color auto="1"/>
      </bottom>
      <diagonal/>
    </border>
    <border>
      <left style="medium">
        <color auto="1"/>
      </left>
      <right style="medium">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diagonal/>
    </border>
    <border>
      <left style="thin">
        <color auto="1"/>
      </left>
      <right/>
      <top/>
      <bottom/>
      <diagonal/>
    </border>
    <border>
      <left/>
      <right style="medium">
        <color auto="1"/>
      </right>
      <top/>
      <bottom style="thin">
        <color auto="1"/>
      </bottom>
      <diagonal/>
    </border>
    <border>
      <left style="medium">
        <color auto="1"/>
      </left>
      <right style="medium">
        <color auto="1"/>
      </right>
      <top/>
      <bottom style="thin">
        <color auto="1"/>
      </bottom>
      <diagonal/>
    </border>
    <border>
      <left style="thin">
        <color auto="1"/>
      </left>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top/>
      <bottom style="medium">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style="medium">
        <color auto="1"/>
      </top>
      <bottom style="thin">
        <color auto="1"/>
      </bottom>
      <diagonal/>
    </border>
    <border>
      <left style="thin">
        <color auto="1"/>
      </left>
      <right style="medium">
        <color auto="1"/>
      </right>
      <top style="medium">
        <color auto="1"/>
      </top>
      <bottom/>
      <diagonal/>
    </border>
    <border>
      <left style="thin">
        <color auto="1"/>
      </left>
      <right/>
      <top/>
      <bottom style="thin">
        <color auto="1"/>
      </bottom>
      <diagonal/>
    </border>
    <border>
      <left style="medium">
        <color auto="1"/>
      </left>
      <right/>
      <top style="medium">
        <color auto="1"/>
      </top>
      <bottom style="thin">
        <color rgb="FFC0C0C0"/>
      </bottom>
      <diagonal/>
    </border>
    <border>
      <left style="medium">
        <color auto="1"/>
      </left>
      <right style="medium">
        <color auto="1"/>
      </right>
      <top style="medium">
        <color auto="1"/>
      </top>
      <bottom style="thin">
        <color rgb="FFC0C0C0"/>
      </bottom>
      <diagonal/>
    </border>
    <border>
      <left style="medium">
        <color auto="1"/>
      </left>
      <right/>
      <top/>
      <bottom style="thin">
        <color rgb="FFC0C0C0"/>
      </bottom>
      <diagonal/>
    </border>
    <border>
      <left style="medium">
        <color auto="1"/>
      </left>
      <right style="medium">
        <color auto="1"/>
      </right>
      <top style="thin">
        <color rgb="FFC0C0C0"/>
      </top>
      <bottom style="thin">
        <color rgb="FFC0C0C0"/>
      </bottom>
      <diagonal/>
    </border>
    <border>
      <left style="medium">
        <color auto="1"/>
      </left>
      <right/>
      <top style="thin">
        <color rgb="FFC0C0C0"/>
      </top>
      <bottom style="thin">
        <color rgb="FFC0C0C0"/>
      </bottom>
      <diagonal/>
    </border>
    <border>
      <left style="medium">
        <color auto="1"/>
      </left>
      <right/>
      <top style="thin">
        <color rgb="FFC0C0C0"/>
      </top>
      <bottom style="medium">
        <color auto="1"/>
      </bottom>
      <diagonal/>
    </border>
    <border>
      <left style="medium">
        <color auto="1"/>
      </left>
      <right style="medium">
        <color auto="1"/>
      </right>
      <top style="thin">
        <color rgb="FFC0C0C0"/>
      </top>
      <bottom style="medium">
        <color auto="1"/>
      </bottom>
      <diagonal/>
    </border>
    <border>
      <left style="thin">
        <color rgb="FFC0C0C0"/>
      </left>
      <right style="thin">
        <color rgb="FFC0C0C0"/>
      </right>
      <top style="thin">
        <color rgb="FFC0C0C0"/>
      </top>
      <bottom style="thin">
        <color rgb="FFC0C0C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11">
    <xf numFmtId="0" fontId="0" fillId="0" borderId="0"/>
    <xf numFmtId="0" fontId="7" fillId="0" borderId="0" applyBorder="0" applyProtection="0"/>
    <xf numFmtId="0" fontId="1" fillId="2" borderId="0"/>
    <xf numFmtId="0" fontId="2" fillId="3" borderId="0"/>
    <xf numFmtId="0" fontId="3" fillId="0" borderId="0"/>
    <xf numFmtId="0" fontId="3" fillId="0" borderId="0"/>
    <xf numFmtId="0" fontId="3" fillId="0" borderId="0"/>
    <xf numFmtId="0" fontId="3" fillId="0" borderId="0"/>
    <xf numFmtId="0" fontId="3" fillId="0" borderId="0"/>
    <xf numFmtId="0" fontId="4" fillId="0" borderId="0"/>
    <xf numFmtId="0" fontId="3" fillId="0" borderId="0"/>
  </cellStyleXfs>
  <cellXfs count="250">
    <xf numFmtId="0" fontId="0" fillId="0" borderId="0" xfId="0"/>
    <xf numFmtId="0" fontId="0" fillId="4" borderId="0" xfId="0" applyFill="1"/>
    <xf numFmtId="0" fontId="9" fillId="4" borderId="0" xfId="0" applyFont="1" applyFill="1"/>
    <xf numFmtId="0" fontId="9" fillId="0" borderId="6" xfId="0" applyFont="1" applyBorder="1" applyAlignment="1">
      <alignment horizontal="center"/>
    </xf>
    <xf numFmtId="0" fontId="9" fillId="0" borderId="9" xfId="0" applyFont="1" applyBorder="1" applyAlignment="1">
      <alignment horizontal="center"/>
    </xf>
    <xf numFmtId="0" fontId="9" fillId="0" borderId="12" xfId="0" applyFont="1" applyBorder="1" applyAlignment="1">
      <alignment horizontal="center"/>
    </xf>
    <xf numFmtId="0" fontId="12" fillId="4" borderId="0" xfId="0" applyFont="1" applyFill="1" applyAlignment="1">
      <alignment vertical="top" wrapText="1"/>
    </xf>
    <xf numFmtId="0" fontId="9" fillId="0" borderId="5" xfId="0" applyFont="1" applyBorder="1"/>
    <xf numFmtId="164" fontId="9" fillId="0" borderId="11" xfId="0" applyNumberFormat="1" applyFont="1" applyBorder="1" applyAlignment="1">
      <alignment horizontal="left"/>
    </xf>
    <xf numFmtId="0" fontId="13" fillId="0" borderId="3" xfId="0" applyFont="1" applyBorder="1" applyAlignment="1">
      <alignment horizontal="center" vertical="center"/>
    </xf>
    <xf numFmtId="49" fontId="15" fillId="0" borderId="4" xfId="0" applyNumberFormat="1" applyFont="1" applyBorder="1" applyAlignment="1">
      <alignment horizontal="center" vertical="center"/>
    </xf>
    <xf numFmtId="165" fontId="16" fillId="0" borderId="18" xfId="0" applyNumberFormat="1" applyFont="1" applyBorder="1" applyAlignment="1">
      <alignment horizontal="center" vertical="center"/>
    </xf>
    <xf numFmtId="0" fontId="16" fillId="0" borderId="18" xfId="0" applyFont="1" applyBorder="1" applyAlignment="1">
      <alignment horizontal="center" vertical="center"/>
    </xf>
    <xf numFmtId="49" fontId="15" fillId="0" borderId="7" xfId="0" applyNumberFormat="1" applyFont="1" applyBorder="1" applyAlignment="1">
      <alignment horizontal="center" vertical="center"/>
    </xf>
    <xf numFmtId="165" fontId="16" fillId="0" borderId="19" xfId="0" applyNumberFormat="1" applyFont="1" applyBorder="1" applyAlignment="1">
      <alignment horizontal="center" vertical="center"/>
    </xf>
    <xf numFmtId="0" fontId="16" fillId="0" borderId="19" xfId="0" applyFont="1" applyBorder="1" applyAlignment="1">
      <alignment horizontal="center" vertical="center" wrapText="1"/>
    </xf>
    <xf numFmtId="49" fontId="15" fillId="0" borderId="20" xfId="0" applyNumberFormat="1" applyFont="1" applyBorder="1" applyAlignment="1">
      <alignment horizontal="center" vertical="center"/>
    </xf>
    <xf numFmtId="165" fontId="16" fillId="0" borderId="21" xfId="0" applyNumberFormat="1" applyFont="1" applyBorder="1" applyAlignment="1">
      <alignment horizontal="center" vertical="center"/>
    </xf>
    <xf numFmtId="0" fontId="16" fillId="0" borderId="21" xfId="0" applyFont="1" applyBorder="1" applyAlignment="1">
      <alignment horizontal="center" vertical="center" wrapText="1"/>
    </xf>
    <xf numFmtId="49" fontId="15" fillId="0" borderId="10" xfId="0" applyNumberFormat="1" applyFont="1" applyBorder="1" applyAlignment="1">
      <alignment horizontal="center" vertical="center"/>
    </xf>
    <xf numFmtId="165" fontId="16" fillId="0" borderId="22" xfId="0" applyNumberFormat="1" applyFont="1" applyBorder="1" applyAlignment="1">
      <alignment horizontal="center" vertical="center"/>
    </xf>
    <xf numFmtId="0" fontId="16" fillId="0" borderId="22" xfId="0" applyFont="1" applyBorder="1" applyAlignment="1">
      <alignment horizontal="center" vertical="center" wrapText="1"/>
    </xf>
    <xf numFmtId="0" fontId="17" fillId="4" borderId="0" xfId="0" applyFont="1" applyFill="1"/>
    <xf numFmtId="0" fontId="18" fillId="4" borderId="0" xfId="0" applyFont="1" applyFill="1"/>
    <xf numFmtId="0" fontId="0" fillId="5" borderId="0" xfId="0" applyFill="1"/>
    <xf numFmtId="0" fontId="19" fillId="5" borderId="0" xfId="4" applyFont="1" applyFill="1" applyAlignment="1">
      <alignment horizontal="left" vertical="top"/>
    </xf>
    <xf numFmtId="0" fontId="3" fillId="5" borderId="0" xfId="4" applyFill="1" applyAlignment="1">
      <alignment vertical="top"/>
    </xf>
    <xf numFmtId="0" fontId="3" fillId="5" borderId="0" xfId="4" applyFill="1" applyAlignment="1">
      <alignment horizontal="center" vertical="top"/>
    </xf>
    <xf numFmtId="0" fontId="0" fillId="0" borderId="0" xfId="0" applyAlignment="1">
      <alignment vertical="top"/>
    </xf>
    <xf numFmtId="0" fontId="3" fillId="0" borderId="0" xfId="4" applyAlignment="1">
      <alignment vertical="top"/>
    </xf>
    <xf numFmtId="0" fontId="20" fillId="5" borderId="0" xfId="4" applyFont="1" applyFill="1" applyAlignment="1">
      <alignment horizontal="left" vertical="top" wrapText="1"/>
    </xf>
    <xf numFmtId="0" fontId="21" fillId="6" borderId="1" xfId="4" applyFont="1" applyFill="1" applyBorder="1" applyAlignment="1">
      <alignment horizontal="center" vertical="top" wrapText="1"/>
    </xf>
    <xf numFmtId="0" fontId="21" fillId="5" borderId="0" xfId="4" applyFont="1" applyFill="1" applyAlignment="1">
      <alignment horizontal="left" vertical="top" wrapText="1"/>
    </xf>
    <xf numFmtId="0" fontId="21" fillId="8" borderId="1" xfId="4" applyFont="1" applyFill="1" applyBorder="1" applyAlignment="1">
      <alignment vertical="top" wrapText="1"/>
    </xf>
    <xf numFmtId="0" fontId="21" fillId="8" borderId="23" xfId="4" applyFont="1" applyFill="1" applyBorder="1" applyAlignment="1">
      <alignment horizontal="center" vertical="top" wrapText="1"/>
    </xf>
    <xf numFmtId="0" fontId="3" fillId="0" borderId="0" xfId="4"/>
    <xf numFmtId="0" fontId="21" fillId="6" borderId="27" xfId="4" applyFont="1" applyFill="1" applyBorder="1" applyAlignment="1">
      <alignment horizontal="left" vertical="top" wrapText="1"/>
    </xf>
    <xf numFmtId="0" fontId="21" fillId="6" borderId="28" xfId="4" applyFont="1" applyFill="1" applyBorder="1" applyAlignment="1">
      <alignment horizontal="left" vertical="top" wrapText="1"/>
    </xf>
    <xf numFmtId="0" fontId="21" fillId="7" borderId="24" xfId="4" applyFont="1" applyFill="1" applyBorder="1" applyAlignment="1">
      <alignment horizontal="left" vertical="top" wrapText="1"/>
    </xf>
    <xf numFmtId="0" fontId="21" fillId="7" borderId="29" xfId="4" applyFont="1" applyFill="1" applyBorder="1" applyAlignment="1">
      <alignment horizontal="left" vertical="top" wrapText="1"/>
    </xf>
    <xf numFmtId="0" fontId="21" fillId="8" borderId="3" xfId="4" applyFont="1" applyFill="1" applyBorder="1" applyAlignment="1">
      <alignment horizontal="left" vertical="top" wrapText="1"/>
    </xf>
    <xf numFmtId="0" fontId="22" fillId="0" borderId="0" xfId="4" applyFont="1" applyAlignment="1">
      <alignment horizontal="left" vertical="top" wrapText="1"/>
    </xf>
    <xf numFmtId="0" fontId="23" fillId="2" borderId="23" xfId="4" applyFont="1" applyFill="1" applyBorder="1" applyAlignment="1">
      <alignment horizontal="center" vertical="top" textRotation="180" wrapText="1"/>
    </xf>
    <xf numFmtId="0" fontId="20" fillId="2" borderId="31" xfId="4" applyFont="1" applyFill="1" applyBorder="1" applyAlignment="1">
      <alignment horizontal="center" vertical="top" wrapText="1"/>
    </xf>
    <xf numFmtId="0" fontId="20" fillId="2" borderId="32" xfId="4" applyFont="1" applyFill="1" applyBorder="1" applyAlignment="1">
      <alignment horizontal="left" vertical="top" wrapText="1"/>
    </xf>
    <xf numFmtId="0" fontId="20" fillId="9" borderId="33" xfId="4" applyFont="1" applyFill="1" applyBorder="1" applyAlignment="1">
      <alignment vertical="top" wrapText="1"/>
    </xf>
    <xf numFmtId="0" fontId="20" fillId="2" borderId="0" xfId="4" applyFont="1" applyFill="1" applyAlignment="1">
      <alignment horizontal="left" vertical="top" wrapText="1"/>
    </xf>
    <xf numFmtId="0" fontId="20" fillId="2" borderId="34" xfId="4" applyFont="1" applyFill="1" applyBorder="1" applyAlignment="1">
      <alignment horizontal="left" vertical="top" wrapText="1"/>
    </xf>
    <xf numFmtId="0" fontId="20" fillId="2" borderId="35" xfId="4" applyFont="1" applyFill="1" applyBorder="1" applyAlignment="1">
      <alignment horizontal="center" vertical="top" wrapText="1"/>
    </xf>
    <xf numFmtId="0" fontId="20" fillId="2" borderId="37" xfId="4" applyFont="1" applyFill="1" applyBorder="1" applyAlignment="1">
      <alignment horizontal="center" vertical="top" wrapText="1"/>
    </xf>
    <xf numFmtId="0" fontId="20" fillId="2" borderId="34" xfId="4" applyFont="1" applyFill="1" applyBorder="1" applyAlignment="1">
      <alignment horizontal="center" vertical="top" wrapText="1"/>
    </xf>
    <xf numFmtId="0" fontId="20" fillId="2" borderId="38" xfId="4" applyFont="1" applyFill="1" applyBorder="1" applyAlignment="1">
      <alignment horizontal="center" vertical="top" wrapText="1"/>
    </xf>
    <xf numFmtId="0" fontId="20" fillId="2" borderId="6" xfId="4" applyFont="1" applyFill="1" applyBorder="1" applyAlignment="1">
      <alignment horizontal="left" vertical="top" wrapText="1"/>
    </xf>
    <xf numFmtId="0" fontId="20" fillId="2" borderId="5" xfId="4" applyFont="1" applyFill="1" applyBorder="1" applyAlignment="1">
      <alignment horizontal="left" vertical="top" wrapText="1"/>
    </xf>
    <xf numFmtId="0" fontId="20" fillId="5" borderId="0" xfId="4" applyFont="1" applyFill="1" applyAlignment="1">
      <alignment horizontal="center" vertical="top" wrapText="1"/>
    </xf>
    <xf numFmtId="0" fontId="20" fillId="2" borderId="39" xfId="4" applyFont="1" applyFill="1" applyBorder="1" applyAlignment="1">
      <alignment horizontal="left" vertical="top" wrapText="1"/>
    </xf>
    <xf numFmtId="0" fontId="20" fillId="2" borderId="13" xfId="4" applyFont="1" applyFill="1" applyBorder="1" applyAlignment="1">
      <alignment horizontal="left" vertical="top" wrapText="1"/>
    </xf>
    <xf numFmtId="0" fontId="21" fillId="2" borderId="9" xfId="4" applyFont="1" applyFill="1" applyBorder="1" applyAlignment="1">
      <alignment horizontal="center" vertical="top" wrapText="1"/>
    </xf>
    <xf numFmtId="0" fontId="20" fillId="0" borderId="19" xfId="4" applyFont="1" applyBorder="1" applyAlignment="1" applyProtection="1">
      <alignment horizontal="center" vertical="top" wrapText="1"/>
      <protection locked="0"/>
    </xf>
    <xf numFmtId="0" fontId="20" fillId="0" borderId="19" xfId="4" applyFont="1" applyBorder="1" applyAlignment="1" applyProtection="1">
      <alignment horizontal="left" vertical="top" wrapText="1"/>
      <protection locked="0"/>
    </xf>
    <xf numFmtId="0" fontId="20" fillId="0" borderId="40" xfId="4" applyFont="1" applyBorder="1" applyAlignment="1" applyProtection="1">
      <alignment horizontal="left" vertical="top" wrapText="1"/>
      <protection locked="0"/>
    </xf>
    <xf numFmtId="0" fontId="20" fillId="9" borderId="7" xfId="4" applyFont="1" applyFill="1" applyBorder="1" applyAlignment="1" applyProtection="1">
      <alignment horizontal="center" vertical="top" wrapText="1"/>
      <protection locked="0"/>
    </xf>
    <xf numFmtId="0" fontId="20" fillId="0" borderId="40" xfId="4" applyFont="1" applyBorder="1" applyAlignment="1" applyProtection="1">
      <alignment horizontal="center" vertical="center" wrapText="1"/>
      <protection locked="0"/>
    </xf>
    <xf numFmtId="0" fontId="20" fillId="0" borderId="41" xfId="4" applyFont="1" applyBorder="1" applyAlignment="1" applyProtection="1">
      <alignment horizontal="center" vertical="center" wrapText="1"/>
      <protection locked="0"/>
    </xf>
    <xf numFmtId="0" fontId="20" fillId="0" borderId="9" xfId="4" applyFont="1" applyBorder="1" applyAlignment="1" applyProtection="1">
      <alignment horizontal="left" vertical="top" wrapText="1"/>
      <protection locked="0"/>
    </xf>
    <xf numFmtId="0" fontId="20" fillId="0" borderId="8" xfId="4" applyFont="1" applyBorder="1" applyAlignment="1" applyProtection="1">
      <alignment vertical="top" wrapText="1"/>
      <protection locked="0"/>
    </xf>
    <xf numFmtId="0" fontId="20" fillId="2" borderId="15" xfId="4" applyFont="1" applyFill="1" applyBorder="1" applyAlignment="1" applyProtection="1">
      <alignment horizontal="left" vertical="top" wrapText="1"/>
      <protection locked="0"/>
    </xf>
    <xf numFmtId="0" fontId="20" fillId="2" borderId="39" xfId="4" applyFont="1" applyFill="1" applyBorder="1" applyAlignment="1" applyProtection="1">
      <alignment horizontal="left" vertical="top" wrapText="1"/>
      <protection locked="0"/>
    </xf>
    <xf numFmtId="0" fontId="23" fillId="2" borderId="15" xfId="4" applyFont="1" applyFill="1" applyBorder="1" applyAlignment="1" applyProtection="1">
      <alignment horizontal="left" vertical="top" wrapText="1"/>
      <protection locked="0"/>
    </xf>
    <xf numFmtId="0" fontId="20" fillId="0" borderId="42" xfId="4" applyFont="1" applyBorder="1" applyAlignment="1" applyProtection="1">
      <alignment horizontal="left" vertical="top" wrapText="1"/>
      <protection locked="0"/>
    </xf>
    <xf numFmtId="0" fontId="20" fillId="0" borderId="19" xfId="4" applyFont="1" applyBorder="1" applyAlignment="1" applyProtection="1">
      <alignment horizontal="center" vertical="center" wrapText="1"/>
      <protection locked="0"/>
    </xf>
    <xf numFmtId="0" fontId="20" fillId="0" borderId="42" xfId="4" applyFont="1" applyBorder="1" applyAlignment="1" applyProtection="1">
      <alignment horizontal="center" vertical="center" wrapText="1"/>
      <protection locked="0"/>
    </xf>
    <xf numFmtId="0" fontId="20" fillId="0" borderId="8" xfId="4" applyFont="1" applyBorder="1" applyAlignment="1" applyProtection="1">
      <alignment horizontal="left" vertical="top" wrapText="1"/>
      <protection locked="0"/>
    </xf>
    <xf numFmtId="0" fontId="24" fillId="5" borderId="0" xfId="4" applyFont="1" applyFill="1" applyAlignment="1">
      <alignment horizontal="center" vertical="top" wrapText="1"/>
    </xf>
    <xf numFmtId="0" fontId="24" fillId="2" borderId="15" xfId="4" applyFont="1" applyFill="1" applyBorder="1" applyAlignment="1" applyProtection="1">
      <alignment horizontal="left" vertical="top" wrapText="1"/>
      <protection locked="0"/>
    </xf>
    <xf numFmtId="0" fontId="25" fillId="0" borderId="0" xfId="0" applyFont="1"/>
    <xf numFmtId="0" fontId="24" fillId="0" borderId="0" xfId="4" applyFont="1"/>
    <xf numFmtId="0" fontId="20" fillId="9" borderId="7" xfId="4" applyFont="1" applyFill="1" applyBorder="1" applyAlignment="1" applyProtection="1">
      <alignment vertical="top" wrapText="1"/>
      <protection locked="0"/>
    </xf>
    <xf numFmtId="0" fontId="3" fillId="0" borderId="0" xfId="8" applyProtection="1">
      <protection locked="0"/>
    </xf>
    <xf numFmtId="0" fontId="3" fillId="0" borderId="0" xfId="8" applyAlignment="1" applyProtection="1">
      <alignment wrapText="1"/>
      <protection locked="0"/>
    </xf>
    <xf numFmtId="0" fontId="3" fillId="0" borderId="0" xfId="8" applyAlignment="1" applyProtection="1">
      <alignment horizontal="center"/>
      <protection locked="0"/>
    </xf>
    <xf numFmtId="166" fontId="3" fillId="0" borderId="0" xfId="8" applyNumberFormat="1" applyAlignment="1" applyProtection="1">
      <alignment horizontal="center"/>
      <protection locked="0"/>
    </xf>
    <xf numFmtId="0" fontId="3" fillId="0" borderId="0" xfId="8"/>
    <xf numFmtId="0" fontId="21" fillId="6" borderId="3" xfId="4" applyFont="1" applyFill="1" applyBorder="1" applyAlignment="1">
      <alignment horizontal="center" vertical="top" wrapText="1"/>
    </xf>
    <xf numFmtId="0" fontId="21" fillId="8" borderId="3" xfId="4" applyFont="1" applyFill="1" applyBorder="1" applyAlignment="1">
      <alignment vertical="top" wrapText="1"/>
    </xf>
    <xf numFmtId="0" fontId="21" fillId="8" borderId="3" xfId="4" applyFont="1" applyFill="1" applyBorder="1" applyAlignment="1">
      <alignment horizontal="center" vertical="top" wrapText="1"/>
    </xf>
    <xf numFmtId="0" fontId="22" fillId="5" borderId="0" xfId="4" applyFont="1" applyFill="1" applyAlignment="1">
      <alignment vertical="top" wrapText="1"/>
    </xf>
    <xf numFmtId="0" fontId="21" fillId="2" borderId="3" xfId="4" applyFont="1" applyFill="1" applyBorder="1" applyAlignment="1">
      <alignment horizontal="left" vertical="top" wrapText="1"/>
    </xf>
    <xf numFmtId="0" fontId="21" fillId="6" borderId="43" xfId="4" applyFont="1" applyFill="1" applyBorder="1" applyAlignment="1">
      <alignment horizontal="left" vertical="top" wrapText="1"/>
    </xf>
    <xf numFmtId="0" fontId="21" fillId="6" borderId="44" xfId="4" applyFont="1" applyFill="1" applyBorder="1" applyAlignment="1">
      <alignment horizontal="left" vertical="top" wrapText="1"/>
    </xf>
    <xf numFmtId="0" fontId="21" fillId="6" borderId="45" xfId="4" applyFont="1" applyFill="1" applyBorder="1" applyAlignment="1">
      <alignment horizontal="left" vertical="top" wrapText="1"/>
    </xf>
    <xf numFmtId="0" fontId="21" fillId="6" borderId="46" xfId="4" applyFont="1" applyFill="1" applyBorder="1" applyAlignment="1">
      <alignment horizontal="left" vertical="top" wrapText="1"/>
    </xf>
    <xf numFmtId="0" fontId="21" fillId="6" borderId="47" xfId="4" applyFont="1" applyFill="1" applyBorder="1" applyAlignment="1">
      <alignment horizontal="left" vertical="top" wrapText="1"/>
    </xf>
    <xf numFmtId="0" fontId="26" fillId="6" borderId="28" xfId="4" applyFont="1" applyFill="1" applyBorder="1" applyAlignment="1">
      <alignment horizontal="left" vertical="top" wrapText="1"/>
    </xf>
    <xf numFmtId="0" fontId="28" fillId="5" borderId="0" xfId="4" applyFont="1" applyFill="1" applyAlignment="1">
      <alignment horizontal="left" vertical="top" wrapText="1"/>
    </xf>
    <xf numFmtId="0" fontId="21" fillId="0" borderId="0" xfId="4" applyFont="1" applyAlignment="1">
      <alignment horizontal="center" vertical="top" wrapText="1"/>
    </xf>
    <xf numFmtId="0" fontId="20" fillId="0" borderId="0" xfId="4" applyFont="1" applyAlignment="1" applyProtection="1">
      <alignment horizontal="left" vertical="top" wrapText="1"/>
      <protection locked="0"/>
    </xf>
    <xf numFmtId="0" fontId="20" fillId="0" borderId="0" xfId="4" applyFont="1" applyAlignment="1" applyProtection="1">
      <alignment vertical="top" wrapText="1"/>
      <protection locked="0"/>
    </xf>
    <xf numFmtId="0" fontId="20" fillId="0" borderId="0" xfId="4" applyFont="1" applyAlignment="1" applyProtection="1">
      <alignment horizontal="center" vertical="top" wrapText="1"/>
      <protection locked="0"/>
    </xf>
    <xf numFmtId="0" fontId="20" fillId="0" borderId="0" xfId="4" applyFont="1" applyAlignment="1" applyProtection="1">
      <alignment horizontal="center" vertical="center" wrapText="1"/>
      <protection locked="0"/>
    </xf>
    <xf numFmtId="0" fontId="9" fillId="0" borderId="0" xfId="0" applyFont="1"/>
    <xf numFmtId="0" fontId="9" fillId="5" borderId="0" xfId="0" applyFont="1" applyFill="1"/>
    <xf numFmtId="0" fontId="9" fillId="5" borderId="0" xfId="0" applyFont="1" applyFill="1" applyAlignment="1">
      <alignment vertical="center"/>
    </xf>
    <xf numFmtId="0" fontId="31" fillId="5" borderId="0" xfId="0" applyFont="1" applyFill="1" applyAlignment="1">
      <alignment horizontal="center" vertical="center"/>
    </xf>
    <xf numFmtId="0" fontId="9" fillId="0" borderId="0" xfId="0" applyFont="1" applyAlignment="1">
      <alignment vertical="center"/>
    </xf>
    <xf numFmtId="0" fontId="35" fillId="5" borderId="0" xfId="0" applyFont="1" applyFill="1" applyAlignment="1">
      <alignment horizontal="center" vertical="center"/>
    </xf>
    <xf numFmtId="0" fontId="4" fillId="5" borderId="0" xfId="6" applyFont="1" applyFill="1" applyAlignment="1">
      <alignment horizontal="left" vertical="top" wrapText="1" shrinkToFit="1"/>
    </xf>
    <xf numFmtId="0" fontId="35" fillId="5" borderId="0" xfId="0" applyFont="1" applyFill="1" applyAlignment="1">
      <alignment horizontal="center"/>
    </xf>
    <xf numFmtId="0" fontId="31" fillId="5" borderId="0" xfId="0" applyFont="1" applyFill="1" applyAlignment="1">
      <alignment horizontal="center"/>
    </xf>
    <xf numFmtId="0" fontId="37" fillId="5" borderId="0" xfId="0" applyFont="1" applyFill="1" applyAlignment="1">
      <alignment horizontal="left" vertical="center" wrapText="1" shrinkToFit="1"/>
    </xf>
    <xf numFmtId="0" fontId="24" fillId="0" borderId="19" xfId="4" applyFont="1" applyBorder="1" applyAlignment="1">
      <alignment horizontal="center" vertical="top" wrapText="1"/>
    </xf>
    <xf numFmtId="0" fontId="24" fillId="0" borderId="19" xfId="4" applyFont="1" applyBorder="1" applyAlignment="1">
      <alignment horizontal="left" vertical="top" wrapText="1"/>
    </xf>
    <xf numFmtId="0" fontId="24" fillId="9" borderId="7" xfId="4" applyFont="1" applyFill="1" applyBorder="1" applyAlignment="1">
      <alignment horizontal="center" vertical="top" wrapText="1"/>
    </xf>
    <xf numFmtId="0" fontId="24" fillId="0" borderId="8" xfId="4" applyFont="1" applyBorder="1" applyAlignment="1">
      <alignment horizontal="center" vertical="top" wrapText="1"/>
    </xf>
    <xf numFmtId="0" fontId="24" fillId="0" borderId="9" xfId="4" applyFont="1" applyBorder="1" applyAlignment="1">
      <alignment horizontal="left" vertical="top" wrapText="1"/>
    </xf>
    <xf numFmtId="0" fontId="24" fillId="0" borderId="8" xfId="4" applyFont="1" applyBorder="1" applyAlignment="1">
      <alignment vertical="top" wrapText="1"/>
    </xf>
    <xf numFmtId="0" fontId="3" fillId="5" borderId="0" xfId="10" applyFill="1" applyProtection="1">
      <protection locked="0"/>
    </xf>
    <xf numFmtId="0" fontId="41" fillId="11" borderId="0" xfId="10" applyFont="1" applyFill="1" applyAlignment="1">
      <alignment vertical="center"/>
    </xf>
    <xf numFmtId="0" fontId="3" fillId="11" borderId="0" xfId="10" applyFill="1" applyProtection="1">
      <protection locked="0"/>
    </xf>
    <xf numFmtId="0" fontId="42" fillId="12" borderId="0" xfId="10" applyFont="1" applyFill="1" applyProtection="1">
      <protection locked="0"/>
    </xf>
    <xf numFmtId="0" fontId="3" fillId="12" borderId="0" xfId="10" applyFill="1" applyProtection="1">
      <protection locked="0"/>
    </xf>
    <xf numFmtId="0" fontId="22" fillId="5" borderId="0" xfId="10" applyFont="1" applyFill="1" applyProtection="1">
      <protection locked="0"/>
    </xf>
    <xf numFmtId="0" fontId="43" fillId="5" borderId="0" xfId="10" applyFont="1" applyFill="1" applyAlignment="1" applyProtection="1">
      <alignment horizontal="center"/>
      <protection locked="0"/>
    </xf>
    <xf numFmtId="0" fontId="44" fillId="13" borderId="49" xfId="10" applyFont="1" applyFill="1" applyBorder="1" applyAlignment="1" applyProtection="1">
      <alignment horizontal="left"/>
      <protection locked="0"/>
    </xf>
    <xf numFmtId="17" fontId="44" fillId="13" borderId="3" xfId="10" applyNumberFormat="1" applyFont="1" applyFill="1" applyBorder="1" applyAlignment="1" applyProtection="1">
      <alignment horizontal="center"/>
      <protection locked="0"/>
    </xf>
    <xf numFmtId="0" fontId="45" fillId="5" borderId="54" xfId="10" applyFont="1" applyFill="1" applyBorder="1" applyAlignment="1" applyProtection="1">
      <alignment horizontal="left" vertical="top"/>
      <protection locked="0"/>
    </xf>
    <xf numFmtId="0" fontId="46" fillId="14" borderId="55" xfId="10" applyFont="1" applyFill="1" applyBorder="1" applyAlignment="1" applyProtection="1">
      <alignment horizontal="center" vertical="top"/>
      <protection locked="0"/>
    </xf>
    <xf numFmtId="0" fontId="45" fillId="5" borderId="56" xfId="10" applyFont="1" applyFill="1" applyBorder="1" applyAlignment="1" applyProtection="1">
      <alignment horizontal="left" vertical="top"/>
      <protection locked="0"/>
    </xf>
    <xf numFmtId="0" fontId="46" fillId="14" borderId="57" xfId="10" applyFont="1" applyFill="1" applyBorder="1" applyAlignment="1" applyProtection="1">
      <alignment horizontal="center" vertical="top"/>
      <protection locked="0"/>
    </xf>
    <xf numFmtId="0" fontId="45" fillId="5" borderId="58" xfId="10" applyFont="1" applyFill="1" applyBorder="1" applyAlignment="1" applyProtection="1">
      <alignment horizontal="left" vertical="top"/>
      <protection locked="0"/>
    </xf>
    <xf numFmtId="0" fontId="45" fillId="5" borderId="59" xfId="10" applyFont="1" applyFill="1" applyBorder="1" applyAlignment="1" applyProtection="1">
      <alignment horizontal="left" vertical="top"/>
      <protection locked="0"/>
    </xf>
    <xf numFmtId="0" fontId="46" fillId="14" borderId="60" xfId="10" applyFont="1" applyFill="1" applyBorder="1" applyAlignment="1" applyProtection="1">
      <alignment horizontal="center" vertical="top"/>
      <protection locked="0"/>
    </xf>
    <xf numFmtId="9" fontId="22" fillId="5" borderId="0" xfId="10" applyNumberFormat="1" applyFont="1" applyFill="1" applyAlignment="1" applyProtection="1">
      <alignment horizontal="left"/>
      <protection locked="0"/>
    </xf>
    <xf numFmtId="9" fontId="3" fillId="5" borderId="0" xfId="10" applyNumberFormat="1" applyFill="1" applyProtection="1">
      <protection locked="0"/>
    </xf>
    <xf numFmtId="0" fontId="21" fillId="2" borderId="23" xfId="4" applyFont="1" applyFill="1" applyBorder="1" applyAlignment="1">
      <alignment horizontal="center" vertical="center" wrapText="1"/>
    </xf>
    <xf numFmtId="0" fontId="21" fillId="6" borderId="24" xfId="4" applyFont="1" applyFill="1" applyBorder="1" applyAlignment="1">
      <alignment horizontal="center" vertical="center" wrapText="1"/>
    </xf>
    <xf numFmtId="0" fontId="21" fillId="6" borderId="25" xfId="4" applyFont="1" applyFill="1" applyBorder="1" applyAlignment="1">
      <alignment horizontal="center" vertical="center" wrapText="1"/>
    </xf>
    <xf numFmtId="0" fontId="21" fillId="6" borderId="26" xfId="4" applyFont="1" applyFill="1" applyBorder="1" applyAlignment="1">
      <alignment horizontal="center" vertical="center" wrapText="1"/>
    </xf>
    <xf numFmtId="0" fontId="21" fillId="6" borderId="27" xfId="4" applyFont="1" applyFill="1" applyBorder="1" applyAlignment="1">
      <alignment horizontal="center" vertical="center" wrapText="1"/>
    </xf>
    <xf numFmtId="0" fontId="21" fillId="6" borderId="28" xfId="4" applyFont="1" applyFill="1" applyBorder="1" applyAlignment="1">
      <alignment horizontal="center" vertical="center" wrapText="1"/>
    </xf>
    <xf numFmtId="0" fontId="21" fillId="6" borderId="29" xfId="4" applyFont="1" applyFill="1" applyBorder="1" applyAlignment="1">
      <alignment horizontal="center" vertical="center" wrapText="1"/>
    </xf>
    <xf numFmtId="0" fontId="21" fillId="7" borderId="24" xfId="4" applyFont="1" applyFill="1" applyBorder="1" applyAlignment="1">
      <alignment horizontal="center" vertical="center" wrapText="1"/>
    </xf>
    <xf numFmtId="0" fontId="21" fillId="7" borderId="29" xfId="4" applyFont="1" applyFill="1" applyBorder="1" applyAlignment="1">
      <alignment horizontal="center" vertical="center" wrapText="1"/>
    </xf>
    <xf numFmtId="0" fontId="21" fillId="5" borderId="30" xfId="4" applyFont="1" applyFill="1" applyBorder="1" applyAlignment="1">
      <alignment horizontal="center" vertical="center" wrapText="1"/>
    </xf>
    <xf numFmtId="0" fontId="21" fillId="8" borderId="3" xfId="4" applyFont="1" applyFill="1" applyBorder="1" applyAlignment="1">
      <alignment horizontal="center" vertical="center" wrapText="1"/>
    </xf>
    <xf numFmtId="0" fontId="0" fillId="0" borderId="0" xfId="0" applyAlignment="1">
      <alignment horizontal="center" vertical="center"/>
    </xf>
    <xf numFmtId="0" fontId="22" fillId="0" borderId="0" xfId="4" applyFont="1" applyAlignment="1">
      <alignment horizontal="center" vertical="center" wrapText="1"/>
    </xf>
    <xf numFmtId="0" fontId="16" fillId="0" borderId="46" xfId="0" applyFont="1" applyBorder="1" applyAlignment="1">
      <alignment horizontal="center" vertical="center" wrapText="1"/>
    </xf>
    <xf numFmtId="0" fontId="16" fillId="0" borderId="18" xfId="0" applyFont="1" applyBorder="1" applyAlignment="1">
      <alignment horizontal="center" vertical="center" wrapText="1"/>
    </xf>
    <xf numFmtId="0" fontId="16" fillId="0" borderId="34" xfId="0" applyFont="1" applyBorder="1" applyAlignment="1">
      <alignment horizontal="center" vertical="center" wrapText="1"/>
    </xf>
    <xf numFmtId="0" fontId="5" fillId="15" borderId="37" xfId="0" applyFont="1" applyFill="1" applyBorder="1" applyAlignment="1">
      <alignment horizontal="center" vertical="center"/>
    </xf>
    <xf numFmtId="0" fontId="5" fillId="15" borderId="0" xfId="0" applyFont="1" applyFill="1" applyAlignment="1">
      <alignment horizontal="center" vertical="center"/>
    </xf>
    <xf numFmtId="0" fontId="5" fillId="15" borderId="36" xfId="0" applyFont="1" applyFill="1" applyBorder="1" applyAlignment="1">
      <alignment horizontal="center" vertical="center"/>
    </xf>
    <xf numFmtId="0" fontId="11" fillId="0" borderId="17" xfId="0" applyFont="1" applyBorder="1" applyAlignment="1">
      <alignment horizontal="right"/>
    </xf>
    <xf numFmtId="164" fontId="9" fillId="0" borderId="17" xfId="0" applyNumberFormat="1" applyFont="1" applyBorder="1" applyAlignment="1">
      <alignment horizontal="left"/>
    </xf>
    <xf numFmtId="0" fontId="14" fillId="0" borderId="3" xfId="0" applyFont="1" applyBorder="1" applyAlignment="1">
      <alignment horizontal="center" vertical="top" wrapText="1"/>
    </xf>
    <xf numFmtId="0" fontId="16" fillId="4" borderId="0" xfId="0" applyFont="1" applyFill="1" applyAlignment="1">
      <alignment horizontal="left" wrapText="1"/>
    </xf>
    <xf numFmtId="0" fontId="7" fillId="0" borderId="11" xfId="1" applyBorder="1" applyProtection="1"/>
    <xf numFmtId="0" fontId="11" fillId="0" borderId="13" xfId="0" applyFont="1" applyBorder="1" applyAlignment="1">
      <alignment horizontal="right"/>
    </xf>
    <xf numFmtId="0" fontId="9" fillId="0" borderId="14" xfId="0" applyFont="1" applyBorder="1" applyAlignment="1">
      <alignment horizontal="left"/>
    </xf>
    <xf numFmtId="0" fontId="11" fillId="0" borderId="4" xfId="0" applyFont="1" applyBorder="1" applyAlignment="1">
      <alignment horizontal="right"/>
    </xf>
    <xf numFmtId="0" fontId="11" fillId="0" borderId="7" xfId="0" applyFont="1" applyBorder="1" applyAlignment="1">
      <alignment horizontal="right"/>
    </xf>
    <xf numFmtId="0" fontId="9" fillId="0" borderId="16" xfId="0" applyFont="1" applyBorder="1" applyAlignment="1">
      <alignment horizontal="left"/>
    </xf>
    <xf numFmtId="0" fontId="11" fillId="0" borderId="10" xfId="0" applyFont="1" applyBorder="1" applyAlignment="1">
      <alignment horizontal="right"/>
    </xf>
    <xf numFmtId="0" fontId="7" fillId="0" borderId="5" xfId="1" applyBorder="1" applyProtection="1"/>
    <xf numFmtId="0" fontId="11" fillId="0" borderId="7" xfId="0" applyFont="1" applyBorder="1" applyAlignment="1">
      <alignment horizontal="right" wrapText="1"/>
    </xf>
    <xf numFmtId="0" fontId="9" fillId="0" borderId="8" xfId="0" applyFont="1" applyBorder="1" applyAlignment="1" applyProtection="1">
      <alignment horizontal="left"/>
      <protection locked="0"/>
    </xf>
    <xf numFmtId="0" fontId="7" fillId="0" borderId="8" xfId="1" applyBorder="1" applyProtection="1"/>
    <xf numFmtId="164" fontId="9" fillId="0" borderId="11" xfId="0" applyNumberFormat="1" applyFont="1" applyBorder="1" applyAlignment="1" applyProtection="1">
      <alignment horizontal="left"/>
      <protection locked="0"/>
    </xf>
    <xf numFmtId="0" fontId="5" fillId="0" borderId="62" xfId="0" applyFont="1" applyBorder="1" applyAlignment="1">
      <alignment horizontal="center" vertical="center"/>
    </xf>
    <xf numFmtId="0" fontId="5" fillId="0" borderId="63" xfId="0" applyFont="1" applyBorder="1" applyAlignment="1">
      <alignment horizontal="center" vertical="center"/>
    </xf>
    <xf numFmtId="0" fontId="5" fillId="0" borderId="64" xfId="0" applyFont="1" applyBorder="1" applyAlignment="1">
      <alignment horizontal="center" vertical="center"/>
    </xf>
    <xf numFmtId="0" fontId="6" fillId="0" borderId="37" xfId="0" applyFont="1" applyBorder="1" applyAlignment="1">
      <alignment horizontal="center" vertical="center" wrapText="1"/>
    </xf>
    <xf numFmtId="0" fontId="6" fillId="0" borderId="0" xfId="0" applyFont="1" applyAlignment="1">
      <alignment horizontal="center" vertical="center" wrapText="1"/>
    </xf>
    <xf numFmtId="0" fontId="6" fillId="0" borderId="36" xfId="0" applyFont="1" applyBorder="1" applyAlignment="1">
      <alignment horizontal="center" vertical="center" wrapText="1"/>
    </xf>
    <xf numFmtId="0" fontId="7" fillId="0" borderId="37" xfId="1" applyBorder="1" applyAlignment="1" applyProtection="1">
      <alignment horizontal="center"/>
    </xf>
    <xf numFmtId="0" fontId="7" fillId="0" borderId="0" xfId="1" applyBorder="1" applyAlignment="1" applyProtection="1">
      <alignment horizontal="center"/>
    </xf>
    <xf numFmtId="0" fontId="7" fillId="0" borderId="36" xfId="1" applyBorder="1" applyAlignment="1" applyProtection="1">
      <alignment horizontal="center"/>
    </xf>
    <xf numFmtId="0" fontId="8" fillId="0" borderId="53" xfId="0" applyFont="1" applyBorder="1" applyAlignment="1">
      <alignment horizontal="center"/>
    </xf>
    <xf numFmtId="0" fontId="8" fillId="0" borderId="41" xfId="0" applyFont="1" applyBorder="1" applyAlignment="1">
      <alignment horizontal="center"/>
    </xf>
    <xf numFmtId="0" fontId="8" fillId="0" borderId="65" xfId="0" applyFont="1" applyBorder="1" applyAlignment="1">
      <alignment horizontal="center"/>
    </xf>
    <xf numFmtId="0" fontId="10" fillId="0" borderId="3" xfId="0" applyFont="1" applyBorder="1" applyAlignment="1">
      <alignment horizontal="center"/>
    </xf>
    <xf numFmtId="0" fontId="5" fillId="4" borderId="2" xfId="0" applyFont="1" applyFill="1" applyBorder="1" applyAlignment="1">
      <alignment horizontal="right"/>
    </xf>
    <xf numFmtId="0" fontId="11" fillId="0" borderId="5" xfId="0" applyFont="1" applyBorder="1" applyAlignment="1" applyProtection="1">
      <alignment horizontal="left"/>
      <protection locked="0"/>
    </xf>
    <xf numFmtId="0" fontId="21" fillId="6" borderId="1" xfId="4" applyFont="1" applyFill="1" applyBorder="1" applyAlignment="1">
      <alignment horizontal="center" vertical="top" wrapText="1"/>
    </xf>
    <xf numFmtId="0" fontId="21" fillId="7" borderId="1" xfId="4" applyFont="1" applyFill="1" applyBorder="1" applyAlignment="1">
      <alignment horizontal="center" vertical="top" wrapText="1"/>
    </xf>
    <xf numFmtId="0" fontId="20" fillId="0" borderId="0" xfId="8" applyFont="1" applyAlignment="1">
      <alignment horizontal="left" vertical="center" wrapText="1"/>
    </xf>
    <xf numFmtId="0" fontId="20" fillId="6" borderId="3" xfId="4" applyFont="1" applyFill="1" applyBorder="1" applyAlignment="1">
      <alignment horizontal="center" vertical="top" wrapText="1"/>
    </xf>
    <xf numFmtId="0" fontId="21" fillId="6" borderId="3" xfId="4" applyFont="1" applyFill="1" applyBorder="1" applyAlignment="1">
      <alignment horizontal="center" vertical="top" wrapText="1"/>
    </xf>
    <xf numFmtId="0" fontId="21" fillId="7" borderId="3" xfId="4" applyFont="1" applyFill="1" applyBorder="1" applyAlignment="1">
      <alignment horizontal="center" vertical="top" wrapText="1"/>
    </xf>
    <xf numFmtId="0" fontId="24" fillId="5" borderId="0" xfId="6" applyFont="1" applyFill="1" applyAlignment="1">
      <alignment horizontal="left" vertical="top" wrapText="1" shrinkToFit="1"/>
    </xf>
    <xf numFmtId="0" fontId="24" fillId="5" borderId="0" xfId="6" applyFont="1" applyFill="1" applyAlignment="1">
      <alignment horizontal="left" wrapText="1" shrinkToFit="1"/>
    </xf>
    <xf numFmtId="0" fontId="38" fillId="9" borderId="4" xfId="6" applyFont="1" applyFill="1" applyBorder="1" applyAlignment="1">
      <alignment horizontal="center" vertical="center"/>
    </xf>
    <xf numFmtId="0" fontId="3" fillId="10" borderId="5" xfId="6" applyFill="1" applyBorder="1" applyAlignment="1">
      <alignment horizontal="center" vertical="center" wrapText="1" shrinkToFit="1"/>
    </xf>
    <xf numFmtId="0" fontId="38" fillId="9" borderId="7" xfId="6" applyFont="1" applyFill="1" applyBorder="1" applyAlignment="1">
      <alignment horizontal="center" vertical="center"/>
    </xf>
    <xf numFmtId="0" fontId="3" fillId="10" borderId="8" xfId="6" applyFill="1" applyBorder="1" applyAlignment="1">
      <alignment horizontal="center" vertical="center" wrapText="1" shrinkToFit="1"/>
    </xf>
    <xf numFmtId="0" fontId="38" fillId="9" borderId="10" xfId="6" applyFont="1" applyFill="1" applyBorder="1" applyAlignment="1">
      <alignment horizontal="center" vertical="center"/>
    </xf>
    <xf numFmtId="0" fontId="3" fillId="10" borderId="11" xfId="6" applyFill="1" applyBorder="1" applyAlignment="1">
      <alignment horizontal="center" vertical="center" wrapText="1" shrinkToFit="1"/>
    </xf>
    <xf numFmtId="0" fontId="32" fillId="9" borderId="7" xfId="6" applyFont="1" applyFill="1" applyBorder="1" applyAlignment="1">
      <alignment horizontal="center" vertical="center" wrapText="1"/>
    </xf>
    <xf numFmtId="0" fontId="4" fillId="10" borderId="19" xfId="6" applyFont="1" applyFill="1" applyBorder="1" applyAlignment="1">
      <alignment horizontal="center" vertical="center" wrapText="1" shrinkToFit="1"/>
    </xf>
    <xf numFmtId="0" fontId="37" fillId="10" borderId="8" xfId="0" applyFont="1" applyFill="1" applyBorder="1" applyAlignment="1">
      <alignment horizontal="left" vertical="center" wrapText="1"/>
    </xf>
    <xf numFmtId="0" fontId="32" fillId="9" borderId="10" xfId="6" applyFont="1" applyFill="1" applyBorder="1" applyAlignment="1">
      <alignment horizontal="center" vertical="center" wrapText="1"/>
    </xf>
    <xf numFmtId="0" fontId="4" fillId="10" borderId="22" xfId="6" applyFont="1" applyFill="1" applyBorder="1" applyAlignment="1">
      <alignment horizontal="center" vertical="center" wrapText="1" shrinkToFit="1"/>
    </xf>
    <xf numFmtId="0" fontId="37" fillId="10" borderId="11" xfId="0" applyFont="1" applyFill="1" applyBorder="1" applyAlignment="1">
      <alignment horizontal="left" vertical="center" wrapText="1"/>
    </xf>
    <xf numFmtId="0" fontId="29" fillId="5" borderId="0" xfId="9" applyFont="1" applyFill="1" applyAlignment="1">
      <alignment horizontal="left" vertical="center"/>
    </xf>
    <xf numFmtId="0" fontId="5" fillId="2" borderId="3" xfId="0" applyFont="1" applyFill="1" applyBorder="1" applyAlignment="1">
      <alignment horizontal="left" vertical="center"/>
    </xf>
    <xf numFmtId="0" fontId="22" fillId="9" borderId="3" xfId="6" applyFont="1" applyFill="1" applyBorder="1" applyAlignment="1">
      <alignment horizontal="center" vertical="center"/>
    </xf>
    <xf numFmtId="0" fontId="31" fillId="2" borderId="49" xfId="0" applyFont="1" applyFill="1" applyBorder="1" applyAlignment="1">
      <alignment horizontal="center" vertical="center"/>
    </xf>
    <xf numFmtId="0" fontId="31" fillId="2" borderId="26" xfId="0" applyFont="1" applyFill="1" applyBorder="1" applyAlignment="1">
      <alignment horizontal="center" vertical="center"/>
    </xf>
    <xf numFmtId="0" fontId="31" fillId="2" borderId="50" xfId="0" applyFont="1" applyFill="1" applyBorder="1" applyAlignment="1">
      <alignment horizontal="left" vertical="center"/>
    </xf>
    <xf numFmtId="0" fontId="32" fillId="9" borderId="33" xfId="6" applyFont="1" applyFill="1" applyBorder="1" applyAlignment="1">
      <alignment horizontal="center" vertical="center" wrapText="1"/>
    </xf>
    <xf numFmtId="0" fontId="4" fillId="10" borderId="34" xfId="6" applyFont="1" applyFill="1" applyBorder="1" applyAlignment="1">
      <alignment horizontal="center" vertical="center" wrapText="1" shrinkToFit="1"/>
    </xf>
    <xf numFmtId="0" fontId="37" fillId="10" borderId="48" xfId="0" applyFont="1" applyFill="1" applyBorder="1" applyAlignment="1">
      <alignment horizontal="left" vertical="center" wrapText="1"/>
    </xf>
    <xf numFmtId="0" fontId="36" fillId="9" borderId="15" xfId="6" applyFont="1" applyFill="1" applyBorder="1" applyAlignment="1">
      <alignment horizontal="center" vertical="center" wrapText="1"/>
    </xf>
    <xf numFmtId="0" fontId="4" fillId="10" borderId="42" xfId="6" applyFont="1" applyFill="1" applyBorder="1" applyAlignment="1">
      <alignment horizontal="center" vertical="center" wrapText="1" shrinkToFit="1"/>
    </xf>
    <xf numFmtId="0" fontId="37" fillId="10" borderId="19" xfId="0" applyFont="1" applyFill="1" applyBorder="1" applyAlignment="1">
      <alignment horizontal="center" vertical="center" wrapText="1"/>
    </xf>
    <xf numFmtId="0" fontId="37" fillId="10" borderId="53" xfId="0" applyFont="1" applyFill="1" applyBorder="1" applyAlignment="1">
      <alignment horizontal="center" vertical="center" wrapText="1" shrinkToFit="1"/>
    </xf>
    <xf numFmtId="0" fontId="4" fillId="10" borderId="8" xfId="6" applyFont="1" applyFill="1" applyBorder="1" applyAlignment="1">
      <alignment horizontal="center" vertical="center" wrapText="1" shrinkToFit="1"/>
    </xf>
    <xf numFmtId="0" fontId="4" fillId="10" borderId="52" xfId="6" applyFont="1" applyFill="1" applyBorder="1" applyAlignment="1">
      <alignment horizontal="center" vertical="center" wrapText="1" shrinkToFit="1"/>
    </xf>
    <xf numFmtId="0" fontId="36" fillId="9" borderId="13" xfId="6" applyFont="1" applyFill="1" applyBorder="1" applyAlignment="1">
      <alignment horizontal="center" vertical="center"/>
    </xf>
    <xf numFmtId="0" fontId="4" fillId="10" borderId="51" xfId="6" applyFont="1" applyFill="1" applyBorder="1" applyAlignment="1">
      <alignment horizontal="center" vertical="center" wrapText="1" shrinkToFit="1"/>
    </xf>
    <xf numFmtId="0" fontId="4" fillId="10" borderId="32" xfId="6" applyFont="1" applyFill="1" applyBorder="1" applyAlignment="1">
      <alignment horizontal="center" vertical="center" wrapText="1" shrinkToFit="1"/>
    </xf>
    <xf numFmtId="0" fontId="36" fillId="9" borderId="15" xfId="6" applyFont="1" applyFill="1" applyBorder="1" applyAlignment="1">
      <alignment horizontal="center" vertical="center"/>
    </xf>
    <xf numFmtId="0" fontId="37" fillId="10" borderId="19" xfId="0" applyFont="1" applyFill="1" applyBorder="1" applyAlignment="1">
      <alignment horizontal="center" vertical="center" wrapText="1" shrinkToFit="1"/>
    </xf>
    <xf numFmtId="0" fontId="4" fillId="10" borderId="9" xfId="6" applyFont="1" applyFill="1" applyBorder="1" applyAlignment="1">
      <alignment horizontal="center" vertical="center" wrapText="1" shrinkToFit="1"/>
    </xf>
    <xf numFmtId="0" fontId="37" fillId="10" borderId="40" xfId="0" applyFont="1" applyFill="1" applyBorder="1" applyAlignment="1">
      <alignment horizontal="center" vertical="center" wrapText="1" shrinkToFit="1"/>
    </xf>
    <xf numFmtId="0" fontId="37" fillId="10" borderId="8" xfId="0" applyFont="1" applyFill="1" applyBorder="1" applyAlignment="1">
      <alignment horizontal="center" vertical="center" wrapText="1" shrinkToFit="1"/>
    </xf>
    <xf numFmtId="0" fontId="34" fillId="2" borderId="49" xfId="0" applyFont="1" applyFill="1" applyBorder="1" applyAlignment="1">
      <alignment horizontal="center"/>
    </xf>
    <xf numFmtId="0" fontId="31" fillId="2" borderId="50" xfId="0" applyFont="1" applyFill="1" applyBorder="1" applyAlignment="1">
      <alignment horizontal="left"/>
    </xf>
    <xf numFmtId="0" fontId="31" fillId="9" borderId="23" xfId="6" applyFont="1" applyFill="1" applyBorder="1" applyAlignment="1">
      <alignment horizontal="center"/>
    </xf>
    <xf numFmtId="0" fontId="31" fillId="9" borderId="1" xfId="6" applyFont="1" applyFill="1" applyBorder="1" applyAlignment="1">
      <alignment horizontal="center"/>
    </xf>
    <xf numFmtId="0" fontId="34" fillId="9" borderId="1" xfId="0" applyFont="1" applyFill="1" applyBorder="1" applyAlignment="1">
      <alignment horizontal="center"/>
    </xf>
    <xf numFmtId="0" fontId="34" fillId="9" borderId="23" xfId="0" applyFont="1" applyFill="1" applyBorder="1" applyAlignment="1">
      <alignment horizontal="center"/>
    </xf>
    <xf numFmtId="0" fontId="34" fillId="2" borderId="49" xfId="0" applyFont="1" applyFill="1" applyBorder="1" applyAlignment="1">
      <alignment horizontal="center" vertical="center"/>
    </xf>
    <xf numFmtId="0" fontId="31" fillId="9" borderId="23" xfId="6" applyFont="1" applyFill="1" applyBorder="1" applyAlignment="1">
      <alignment horizontal="center" vertical="center"/>
    </xf>
    <xf numFmtId="0" fontId="31" fillId="9" borderId="1" xfId="6" applyFont="1" applyFill="1" applyBorder="1" applyAlignment="1">
      <alignment horizontal="center" vertical="center"/>
    </xf>
    <xf numFmtId="0" fontId="34" fillId="9" borderId="1" xfId="0" applyFont="1" applyFill="1" applyBorder="1" applyAlignment="1">
      <alignment horizontal="center" vertical="center"/>
    </xf>
    <xf numFmtId="0" fontId="34" fillId="9" borderId="23" xfId="0" applyFont="1" applyFill="1" applyBorder="1" applyAlignment="1">
      <alignment horizontal="center" vertical="center"/>
    </xf>
    <xf numFmtId="0" fontId="32" fillId="9" borderId="7" xfId="9" applyFont="1" applyFill="1" applyBorder="1" applyAlignment="1">
      <alignment horizontal="center"/>
    </xf>
    <xf numFmtId="0" fontId="33" fillId="10" borderId="8" xfId="9" applyFont="1" applyFill="1" applyBorder="1" applyAlignment="1">
      <alignment horizontal="left"/>
    </xf>
    <xf numFmtId="0" fontId="32" fillId="9" borderId="10" xfId="9" applyFont="1" applyFill="1" applyBorder="1" applyAlignment="1">
      <alignment horizontal="center"/>
    </xf>
    <xf numFmtId="0" fontId="33" fillId="10" borderId="11" xfId="9" applyFont="1" applyFill="1" applyBorder="1" applyAlignment="1">
      <alignment horizontal="left"/>
    </xf>
    <xf numFmtId="0" fontId="30" fillId="2" borderId="3" xfId="9" applyFont="1" applyFill="1" applyBorder="1" applyAlignment="1">
      <alignment horizontal="center"/>
    </xf>
    <xf numFmtId="0" fontId="31" fillId="9" borderId="3" xfId="6" applyFont="1" applyFill="1" applyBorder="1" applyAlignment="1">
      <alignment horizontal="center"/>
    </xf>
    <xf numFmtId="0" fontId="31" fillId="9" borderId="3" xfId="9" applyFont="1" applyFill="1" applyBorder="1" applyAlignment="1">
      <alignment horizontal="center"/>
    </xf>
    <xf numFmtId="0" fontId="32" fillId="9" borderId="4" xfId="9" applyFont="1" applyFill="1" applyBorder="1" applyAlignment="1">
      <alignment horizontal="center"/>
    </xf>
    <xf numFmtId="0" fontId="33" fillId="10" borderId="5" xfId="9" applyFont="1" applyFill="1" applyBorder="1" applyAlignment="1">
      <alignment horizontal="left"/>
    </xf>
    <xf numFmtId="0" fontId="32" fillId="9" borderId="33" xfId="9" applyFont="1" applyFill="1" applyBorder="1" applyAlignment="1">
      <alignment horizontal="center"/>
    </xf>
    <xf numFmtId="0" fontId="33" fillId="10" borderId="48" xfId="9" applyFont="1" applyFill="1" applyBorder="1" applyAlignment="1">
      <alignment horizontal="left"/>
    </xf>
    <xf numFmtId="0" fontId="47" fillId="5" borderId="61" xfId="10" applyFont="1" applyFill="1" applyBorder="1" applyAlignment="1" applyProtection="1">
      <alignment vertical="top" wrapText="1"/>
      <protection locked="0"/>
    </xf>
  </cellXfs>
  <cellStyles count="11">
    <cellStyle name="Custom Style  1" xfId="2" xr:uid="{00000000-0005-0000-0000-000006000000}"/>
    <cellStyle name="Custom Style 2" xfId="3" xr:uid="{00000000-0005-0000-0000-000007000000}"/>
    <cellStyle name="Hiperlink" xfId="1" builtinId="8"/>
    <cellStyle name="Normal" xfId="0" builtinId="0"/>
    <cellStyle name="Normal 2" xfId="4" xr:uid="{00000000-0005-0000-0000-000008000000}"/>
    <cellStyle name="Normal 2 2" xfId="5" xr:uid="{00000000-0005-0000-0000-000009000000}"/>
    <cellStyle name="Normal 3" xfId="6" xr:uid="{00000000-0005-0000-0000-00000A000000}"/>
    <cellStyle name="Normal 3 2" xfId="7" xr:uid="{00000000-0005-0000-0000-00000B000000}"/>
    <cellStyle name="Normal_GECF Third Party Associations - Full Security Review v1.1" xfId="8" xr:uid="{00000000-0005-0000-0000-00000C000000}"/>
    <cellStyle name="Normal_Guidelines" xfId="9" xr:uid="{00000000-0005-0000-0000-00000D000000}"/>
    <cellStyle name="Normal_Worksheet in AuditRiskInfoSecUpdate070909" xfId="10" xr:uid="{00000000-0005-0000-0000-00000E000000}"/>
  </cellStyles>
  <dxfs count="2">
    <dxf>
      <font>
        <color rgb="FFFFFFFF"/>
      </font>
    </dxf>
    <dxf>
      <font>
        <color rgb="FFFF000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209520</xdr:colOff>
      <xdr:row>1</xdr:row>
      <xdr:rowOff>76320</xdr:rowOff>
    </xdr:from>
    <xdr:to>
      <xdr:col>3</xdr:col>
      <xdr:colOff>517890</xdr:colOff>
      <xdr:row>4</xdr:row>
      <xdr:rowOff>136890</xdr:rowOff>
    </xdr:to>
    <xdr:pic>
      <xdr:nvPicPr>
        <xdr:cNvPr id="2" name="Picture 3" descr="ISO27001security_logo_150.gif">
          <a:hlinkClick xmlns:r="http://schemas.openxmlformats.org/officeDocument/2006/relationships" r:id="rId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2"/>
        <a:stretch/>
      </xdr:blipFill>
      <xdr:spPr>
        <a:xfrm>
          <a:off x="1467000" y="276480"/>
          <a:ext cx="1117080" cy="761400"/>
        </a:xfrm>
        <a:prstGeom prst="rect">
          <a:avLst/>
        </a:prstGeom>
        <a:ln w="0">
          <a:noFill/>
        </a:ln>
      </xdr:spPr>
    </xdr:pic>
    <xdr:clientData/>
  </xdr:twoCellAnchor>
  <xdr:twoCellAnchor editAs="oneCell">
    <xdr:from>
      <xdr:col>2</xdr:col>
      <xdr:colOff>390600</xdr:colOff>
      <xdr:row>23</xdr:row>
      <xdr:rowOff>162000</xdr:rowOff>
    </xdr:from>
    <xdr:to>
      <xdr:col>3</xdr:col>
      <xdr:colOff>632010</xdr:colOff>
      <xdr:row>24</xdr:row>
      <xdr:rowOff>213000</xdr:rowOff>
    </xdr:to>
    <xdr:pic>
      <xdr:nvPicPr>
        <xdr:cNvPr id="3" name="Picture 2" descr="Creative Commons some rights reserved">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3"/>
        <a:stretch/>
      </xdr:blipFill>
      <xdr:spPr>
        <a:xfrm>
          <a:off x="1648080" y="6010200"/>
          <a:ext cx="1050120" cy="25704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1059180</xdr:colOff>
          <xdr:row>3</xdr:row>
          <xdr:rowOff>335280</xdr:rowOff>
        </xdr:to>
        <xdr:sp macro="" textlink="">
          <xdr:nvSpPr>
            <xdr:cNvPr id="1001" name="Summary_Button" descr="Generate Gap Analysis" hidden="1">
              <a:extLst>
                <a:ext uri="{63B3BB69-23CF-44E3-9099-C40C66FF867C}">
                  <a14:compatExt spid="_x0000_s1001"/>
                </a:ext>
                <a:ext uri="{FF2B5EF4-FFF2-40B4-BE49-F238E27FC236}">
                  <a16:creationId xmlns:a16="http://schemas.microsoft.com/office/drawing/2014/main" id="{00000000-0008-0000-0200-0000E9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xdr:colOff>
          <xdr:row>3</xdr:row>
          <xdr:rowOff>7620</xdr:rowOff>
        </xdr:from>
        <xdr:to>
          <xdr:col>1</xdr:col>
          <xdr:colOff>845820</xdr:colOff>
          <xdr:row>4</xdr:row>
          <xdr:rowOff>167640</xdr:rowOff>
        </xdr:to>
        <xdr:sp macro="" textlink="">
          <xdr:nvSpPr>
            <xdr:cNvPr id="3073" name="shape_0"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pt-BR" sz="1100" b="0" i="0" u="none" strike="noStrike" baseline="0">
                  <a:solidFill>
                    <a:srgbClr val="000000"/>
                  </a:solidFill>
                  <a:latin typeface="Calibri"/>
                  <a:ea typeface="Calibri"/>
                  <a:cs typeface="Calibri"/>
                </a:rPr>
                <a:t>Gerar análise de gap</a:t>
              </a:r>
            </a:p>
            <a:p>
              <a:pPr algn="ctr" rtl="0">
                <a:defRPr sz="1000"/>
              </a:pPr>
              <a:r>
                <a:rPr lang="pt-BR"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1059180</xdr:colOff>
          <xdr:row>5</xdr:row>
          <xdr:rowOff>0</xdr:rowOff>
        </xdr:to>
        <xdr:sp macro="" textlink="">
          <xdr:nvSpPr>
            <xdr:cNvPr id="3074" name="Summary_Button" descr="Generate Gap Analysis"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1059180</xdr:colOff>
          <xdr:row>3</xdr:row>
          <xdr:rowOff>335280</xdr:rowOff>
        </xdr:to>
        <xdr:sp macro="" textlink="">
          <xdr:nvSpPr>
            <xdr:cNvPr id="3075" name="Button 3" descr="Generate Gap Analysis"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1059180</xdr:colOff>
          <xdr:row>3</xdr:row>
          <xdr:rowOff>335280</xdr:rowOff>
        </xdr:to>
        <xdr:sp macro="" textlink="">
          <xdr:nvSpPr>
            <xdr:cNvPr id="3076" name="Button 4" descr="Generate Gap Analysis"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1059180</xdr:colOff>
          <xdr:row>4</xdr:row>
          <xdr:rowOff>-213360</xdr:rowOff>
        </xdr:to>
        <xdr:sp macro="" textlink="">
          <xdr:nvSpPr>
            <xdr:cNvPr id="4099" name="Summary_Button" descr="Generate Gap Analysis"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xdr:colOff>
          <xdr:row>3</xdr:row>
          <xdr:rowOff>7620</xdr:rowOff>
        </xdr:from>
        <xdr:to>
          <xdr:col>1</xdr:col>
          <xdr:colOff>845820</xdr:colOff>
          <xdr:row>4</xdr:row>
          <xdr:rowOff>167640</xdr:rowOff>
        </xdr:to>
        <xdr:sp macro="" textlink="">
          <xdr:nvSpPr>
            <xdr:cNvPr id="4097" name="shape_0"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1059180</xdr:colOff>
          <xdr:row>4</xdr:row>
          <xdr:rowOff>213360</xdr:rowOff>
        </xdr:to>
        <xdr:sp macro="" textlink="">
          <xdr:nvSpPr>
            <xdr:cNvPr id="4098" name="Summary_Button" descr="Generate Gap Analysis"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Calibri"/>
                  <a:ea typeface="Calibri"/>
                  <a:cs typeface="Calibri"/>
                </a:rPr>
                <a:t>Generate Gap Analysis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place.consfin.ge.com/Documents%20and%20Settings/mflierma/Desktop/eBusiness/ISP_Worksheet%20v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lestones"/>
      <sheetName val="Responsibilities"/>
      <sheetName val="Define-Project Info"/>
      <sheetName val="On-Site Audit Checklist"/>
      <sheetName val="Template"/>
    </sheetNames>
    <sheetDataSet>
      <sheetData sheetId="0">
        <row r="24">
          <cell r="B24" t="str">
            <v>Yes</v>
          </cell>
        </row>
        <row r="25">
          <cell r="B25" t="str">
            <v>No</v>
          </cell>
        </row>
        <row r="26">
          <cell r="B26" t="str">
            <v>n/a</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kedin.com/in/luis-scienza/"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J27"/>
  <sheetViews>
    <sheetView topLeftCell="A3" zoomScaleNormal="100" workbookViewId="0">
      <selection activeCell="D12" sqref="D12:E12"/>
    </sheetView>
  </sheetViews>
  <sheetFormatPr defaultColWidth="9.109375" defaultRowHeight="14.4" zeroHeight="1"/>
  <cols>
    <col min="1" max="1" width="5" customWidth="1"/>
    <col min="4" max="4" width="10.109375" customWidth="1"/>
    <col min="5" max="5" width="30.109375" customWidth="1"/>
    <col min="6" max="6" width="14.88671875" customWidth="1"/>
    <col min="8" max="8" width="10.6640625" customWidth="1"/>
    <col min="9" max="9" width="10.21875" customWidth="1"/>
    <col min="10" max="10" width="6.109375" customWidth="1"/>
    <col min="11" max="11" width="8.21875" customWidth="1"/>
    <col min="12" max="12" width="30.33203125" customWidth="1"/>
    <col min="15" max="1024" width="9.109375" hidden="1"/>
  </cols>
  <sheetData>
    <row r="1" spans="1:14">
      <c r="A1" s="1"/>
      <c r="B1" s="1"/>
      <c r="C1" s="1"/>
      <c r="D1" s="1"/>
      <c r="E1" s="1"/>
      <c r="F1" s="1"/>
      <c r="G1" s="1"/>
      <c r="H1" s="1"/>
      <c r="I1" s="1"/>
      <c r="J1" s="1"/>
      <c r="K1" s="1"/>
      <c r="L1" s="1"/>
      <c r="M1" s="1"/>
      <c r="N1" s="1"/>
    </row>
    <row r="2" spans="1:14" ht="15.6">
      <c r="A2" s="1"/>
      <c r="B2" s="1"/>
      <c r="C2" s="1"/>
      <c r="D2" s="1"/>
      <c r="E2" s="1"/>
      <c r="F2" s="169" t="s">
        <v>218</v>
      </c>
      <c r="G2" s="170"/>
      <c r="H2" s="170"/>
      <c r="I2" s="170"/>
      <c r="J2" s="170"/>
      <c r="K2" s="171"/>
      <c r="L2" s="1"/>
      <c r="M2" s="1"/>
      <c r="N2" s="1"/>
    </row>
    <row r="3" spans="1:14" ht="15.6">
      <c r="A3" s="1"/>
      <c r="B3" s="1"/>
      <c r="C3" s="1"/>
      <c r="D3" s="1"/>
      <c r="E3" s="1"/>
      <c r="F3" s="150"/>
      <c r="G3" s="151"/>
      <c r="H3" s="151"/>
      <c r="I3" s="151"/>
      <c r="J3" s="151"/>
      <c r="K3" s="152"/>
      <c r="L3" s="1"/>
      <c r="M3" s="1"/>
      <c r="N3" s="1"/>
    </row>
    <row r="4" spans="1:14" ht="22.2" customHeight="1">
      <c r="A4" s="1"/>
      <c r="B4" s="1"/>
      <c r="C4" s="1"/>
      <c r="D4" s="1"/>
      <c r="E4" s="1"/>
      <c r="F4" s="172" t="s">
        <v>217</v>
      </c>
      <c r="G4" s="173"/>
      <c r="H4" s="173"/>
      <c r="I4" s="173"/>
      <c r="J4" s="173"/>
      <c r="K4" s="174"/>
      <c r="L4" s="1"/>
      <c r="M4" s="1"/>
      <c r="N4" s="1"/>
    </row>
    <row r="5" spans="1:14">
      <c r="A5" s="1"/>
      <c r="B5" s="1"/>
      <c r="C5" s="1"/>
      <c r="D5" s="1"/>
      <c r="E5" s="1"/>
      <c r="F5" s="175" t="s">
        <v>216</v>
      </c>
      <c r="G5" s="176"/>
      <c r="H5" s="176"/>
      <c r="I5" s="176"/>
      <c r="J5" s="176"/>
      <c r="K5" s="177"/>
      <c r="L5" s="1"/>
      <c r="M5" s="1"/>
      <c r="N5" s="1"/>
    </row>
    <row r="6" spans="1:14">
      <c r="A6" s="1"/>
      <c r="B6" s="1"/>
      <c r="C6" s="1"/>
      <c r="D6" s="1"/>
      <c r="E6" s="1"/>
      <c r="F6" s="178"/>
      <c r="G6" s="179"/>
      <c r="H6" s="179"/>
      <c r="I6" s="179"/>
      <c r="J6" s="179"/>
      <c r="K6" s="180"/>
      <c r="L6" s="1"/>
      <c r="M6" s="1"/>
      <c r="N6" s="1"/>
    </row>
    <row r="7" spans="1:14" ht="15" customHeight="1">
      <c r="A7" s="1"/>
      <c r="B7" s="1"/>
      <c r="C7" s="1"/>
      <c r="D7" s="1"/>
      <c r="E7" s="1"/>
      <c r="F7" s="1"/>
      <c r="G7" s="1"/>
      <c r="H7" s="1"/>
      <c r="I7" s="1"/>
      <c r="J7" s="1"/>
      <c r="K7" s="1"/>
      <c r="L7" s="1"/>
      <c r="M7" s="1"/>
      <c r="N7" s="1"/>
    </row>
    <row r="8" spans="1:14">
      <c r="A8" s="1"/>
      <c r="B8" s="2"/>
      <c r="C8" s="2"/>
      <c r="D8" s="2"/>
      <c r="E8" s="2"/>
      <c r="F8" s="2"/>
      <c r="G8" s="2"/>
      <c r="H8" s="2"/>
      <c r="I8" s="2"/>
      <c r="J8" s="2"/>
      <c r="K8" s="2"/>
      <c r="L8" s="2"/>
      <c r="M8" s="2"/>
      <c r="N8" s="1"/>
    </row>
    <row r="9" spans="1:14" ht="21">
      <c r="A9" s="1"/>
      <c r="B9" s="2"/>
      <c r="C9" s="181" t="s">
        <v>0</v>
      </c>
      <c r="D9" s="181"/>
      <c r="E9" s="181"/>
      <c r="F9" s="182" t="s">
        <v>1</v>
      </c>
      <c r="G9" s="182"/>
      <c r="H9" s="160" t="s">
        <v>227</v>
      </c>
      <c r="I9" s="160"/>
      <c r="J9" s="183"/>
      <c r="K9" s="183"/>
      <c r="L9" s="183"/>
      <c r="M9" s="2"/>
      <c r="N9" s="1"/>
    </row>
    <row r="10" spans="1:14">
      <c r="A10" s="1"/>
      <c r="B10" s="2"/>
      <c r="C10" s="3" t="s">
        <v>2</v>
      </c>
      <c r="D10" s="164" t="s">
        <v>3</v>
      </c>
      <c r="E10" s="164"/>
      <c r="F10" s="2"/>
      <c r="G10" s="2"/>
      <c r="H10" s="165" t="s">
        <v>228</v>
      </c>
      <c r="I10" s="165"/>
      <c r="J10" s="166"/>
      <c r="K10" s="166"/>
      <c r="L10" s="166"/>
      <c r="M10" s="2"/>
      <c r="N10" s="1"/>
    </row>
    <row r="11" spans="1:14">
      <c r="A11" s="1"/>
      <c r="B11" s="2"/>
      <c r="C11" s="4" t="s">
        <v>4</v>
      </c>
      <c r="D11" s="167" t="s">
        <v>5</v>
      </c>
      <c r="E11" s="167"/>
      <c r="F11" s="2"/>
      <c r="G11" s="2"/>
      <c r="H11" s="163" t="s">
        <v>220</v>
      </c>
      <c r="I11" s="163"/>
      <c r="J11" s="168"/>
      <c r="K11" s="168"/>
      <c r="L11" s="168"/>
      <c r="M11" s="2"/>
      <c r="N11" s="1"/>
    </row>
    <row r="12" spans="1:14">
      <c r="A12" s="1"/>
      <c r="B12" s="2"/>
      <c r="C12" s="5" t="s">
        <v>7</v>
      </c>
      <c r="D12" s="157" t="s">
        <v>264</v>
      </c>
      <c r="E12" s="157"/>
      <c r="F12" s="2"/>
      <c r="G12" s="2"/>
      <c r="H12" s="2"/>
      <c r="I12" s="2"/>
      <c r="J12" s="2"/>
      <c r="K12" s="2"/>
      <c r="L12" s="2"/>
      <c r="M12" s="2"/>
      <c r="N12" s="1"/>
    </row>
    <row r="13" spans="1:14" ht="12.75" customHeight="1">
      <c r="A13" s="1"/>
      <c r="B13" s="2"/>
      <c r="C13" s="6"/>
      <c r="D13" s="6"/>
      <c r="E13" s="6"/>
      <c r="F13" s="6"/>
      <c r="G13" s="6"/>
      <c r="H13" s="6"/>
      <c r="I13" s="6"/>
      <c r="J13" s="6"/>
      <c r="K13" s="6"/>
      <c r="L13" s="6"/>
      <c r="M13" s="6"/>
      <c r="N13" s="1"/>
    </row>
    <row r="14" spans="1:14" ht="17.25" customHeight="1">
      <c r="A14" s="1"/>
      <c r="B14" s="2"/>
      <c r="C14" s="158" t="s">
        <v>8</v>
      </c>
      <c r="D14" s="158"/>
      <c r="E14" s="159"/>
      <c r="F14" s="159"/>
      <c r="G14" s="2"/>
      <c r="H14" s="160" t="s">
        <v>229</v>
      </c>
      <c r="I14" s="160"/>
      <c r="J14" s="160"/>
      <c r="K14" s="160"/>
      <c r="L14" s="7"/>
      <c r="M14" s="2"/>
      <c r="N14" s="1"/>
    </row>
    <row r="15" spans="1:14" ht="15" thickBot="1">
      <c r="A15" s="1"/>
      <c r="B15" s="2"/>
      <c r="C15" s="161" t="s">
        <v>221</v>
      </c>
      <c r="D15" s="161"/>
      <c r="E15" s="162"/>
      <c r="F15" s="162"/>
      <c r="G15" s="2"/>
      <c r="H15" s="163" t="s">
        <v>219</v>
      </c>
      <c r="I15" s="163"/>
      <c r="J15" s="163"/>
      <c r="K15" s="163"/>
      <c r="L15" s="8"/>
      <c r="M15" s="2"/>
      <c r="N15" s="1"/>
    </row>
    <row r="16" spans="1:14" ht="15" customHeight="1" thickBot="1">
      <c r="A16" s="1"/>
      <c r="B16" s="2"/>
      <c r="C16" s="153" t="s">
        <v>6</v>
      </c>
      <c r="D16" s="153"/>
      <c r="E16" s="154"/>
      <c r="F16" s="154"/>
      <c r="G16" s="2"/>
      <c r="H16" s="2"/>
      <c r="I16" s="2"/>
      <c r="J16" s="2"/>
      <c r="K16" s="2"/>
      <c r="L16" s="2"/>
      <c r="M16" s="2"/>
      <c r="N16" s="1"/>
    </row>
    <row r="17" spans="1:14">
      <c r="A17" s="1"/>
      <c r="B17" s="2"/>
      <c r="C17" s="2"/>
      <c r="D17" s="2"/>
      <c r="E17" s="2"/>
      <c r="F17" s="2"/>
      <c r="G17" s="2"/>
      <c r="H17" s="2"/>
      <c r="I17" s="2"/>
      <c r="J17" s="2"/>
      <c r="K17" s="2"/>
      <c r="L17" s="2"/>
      <c r="M17" s="2"/>
      <c r="N17" s="1"/>
    </row>
    <row r="18" spans="1:14" ht="17.25" customHeight="1" thickBot="1">
      <c r="A18" s="1"/>
      <c r="B18" s="2"/>
      <c r="C18" s="9" t="s">
        <v>9</v>
      </c>
      <c r="D18" s="9" t="s">
        <v>10</v>
      </c>
      <c r="E18" s="9" t="s">
        <v>11</v>
      </c>
      <c r="F18" s="9" t="s">
        <v>12</v>
      </c>
      <c r="G18" s="2"/>
      <c r="H18" s="155" t="s">
        <v>222</v>
      </c>
      <c r="I18" s="155"/>
      <c r="J18" s="155"/>
      <c r="K18" s="155"/>
      <c r="L18" s="155"/>
      <c r="M18" s="2"/>
      <c r="N18" s="1"/>
    </row>
    <row r="19" spans="1:14" ht="21.75" customHeight="1" thickBot="1">
      <c r="A19" s="1"/>
      <c r="B19" s="2"/>
      <c r="C19" s="10" t="s">
        <v>13</v>
      </c>
      <c r="D19" s="11">
        <v>39654</v>
      </c>
      <c r="E19" s="12" t="s">
        <v>14</v>
      </c>
      <c r="F19" s="148" t="s">
        <v>230</v>
      </c>
      <c r="G19" s="2"/>
      <c r="H19" s="155"/>
      <c r="I19" s="155"/>
      <c r="J19" s="155"/>
      <c r="K19" s="155"/>
      <c r="L19" s="155"/>
      <c r="M19" s="2"/>
      <c r="N19" s="1"/>
    </row>
    <row r="20" spans="1:14" ht="34.5" customHeight="1" thickBot="1">
      <c r="A20" s="1"/>
      <c r="B20" s="2"/>
      <c r="C20" s="13" t="s">
        <v>15</v>
      </c>
      <c r="D20" s="14">
        <v>40142</v>
      </c>
      <c r="E20" s="15" t="s">
        <v>16</v>
      </c>
      <c r="F20" s="15" t="s">
        <v>230</v>
      </c>
      <c r="G20" s="2"/>
      <c r="H20" s="155"/>
      <c r="I20" s="155"/>
      <c r="J20" s="155"/>
      <c r="K20" s="155"/>
      <c r="L20" s="155"/>
      <c r="M20" s="2"/>
      <c r="N20" s="1"/>
    </row>
    <row r="21" spans="1:14" ht="69.75" customHeight="1" thickBot="1">
      <c r="A21" s="1"/>
      <c r="B21" s="2"/>
      <c r="C21" s="16" t="s">
        <v>17</v>
      </c>
      <c r="D21" s="17">
        <v>40190</v>
      </c>
      <c r="E21" s="18" t="s">
        <v>18</v>
      </c>
      <c r="F21" s="149" t="s">
        <v>230</v>
      </c>
      <c r="G21" s="2"/>
      <c r="H21" s="155"/>
      <c r="I21" s="155"/>
      <c r="J21" s="155"/>
      <c r="K21" s="155"/>
      <c r="L21" s="155"/>
      <c r="M21" s="2"/>
      <c r="N21" s="1"/>
    </row>
    <row r="22" spans="1:14" ht="32.25" customHeight="1" thickBot="1">
      <c r="A22" s="1"/>
      <c r="B22" s="2"/>
      <c r="C22" s="19" t="s">
        <v>19</v>
      </c>
      <c r="D22" s="20">
        <v>41060</v>
      </c>
      <c r="E22" s="21" t="s">
        <v>20</v>
      </c>
      <c r="F22" s="147" t="s">
        <v>230</v>
      </c>
      <c r="G22" s="2"/>
      <c r="H22" s="155"/>
      <c r="I22" s="155"/>
      <c r="J22" s="155"/>
      <c r="K22" s="155"/>
      <c r="L22" s="155"/>
      <c r="M22" s="2"/>
      <c r="N22" s="1"/>
    </row>
    <row r="23" spans="1:14" s="1" customFormat="1">
      <c r="B23" s="2"/>
      <c r="C23" s="2"/>
      <c r="D23" s="2"/>
      <c r="E23" s="2"/>
      <c r="F23" s="2"/>
      <c r="G23" s="2"/>
      <c r="H23" s="2"/>
      <c r="I23" s="2"/>
      <c r="J23" s="2"/>
      <c r="K23" s="2"/>
      <c r="L23" s="2"/>
      <c r="M23" s="2"/>
    </row>
    <row r="24" spans="1:14" s="1" customFormat="1"/>
    <row r="25" spans="1:14" ht="17.399999999999999">
      <c r="A25" s="1"/>
      <c r="B25" s="22" t="s">
        <v>21</v>
      </c>
      <c r="C25" s="23"/>
      <c r="D25" s="23"/>
      <c r="E25" s="23"/>
      <c r="F25" s="23"/>
      <c r="G25" s="23"/>
      <c r="H25" s="23"/>
      <c r="I25" s="23"/>
      <c r="J25" s="23"/>
      <c r="K25" s="23"/>
      <c r="L25" s="23"/>
      <c r="M25" s="23"/>
      <c r="N25" s="1"/>
    </row>
    <row r="26" spans="1:14" ht="50.25" customHeight="1">
      <c r="A26" s="1"/>
      <c r="B26" s="156" t="s">
        <v>231</v>
      </c>
      <c r="C26" s="156"/>
      <c r="D26" s="156"/>
      <c r="E26" s="156"/>
      <c r="F26" s="156"/>
      <c r="G26" s="156"/>
      <c r="H26" s="156"/>
      <c r="I26" s="156"/>
      <c r="J26" s="156"/>
      <c r="K26" s="156"/>
      <c r="L26" s="156"/>
      <c r="M26" s="156"/>
      <c r="N26" s="1"/>
    </row>
    <row r="27" spans="1:14">
      <c r="A27" s="1"/>
      <c r="B27" s="1"/>
      <c r="C27" s="1"/>
      <c r="D27" s="1"/>
      <c r="E27" s="1"/>
      <c r="F27" s="1"/>
      <c r="G27" s="1"/>
      <c r="H27" s="1"/>
      <c r="I27" s="1"/>
      <c r="J27" s="1"/>
      <c r="K27" s="1"/>
      <c r="L27" s="1"/>
      <c r="M27" s="1"/>
      <c r="N27" s="1"/>
    </row>
  </sheetData>
  <mergeCells count="25">
    <mergeCell ref="F2:K2"/>
    <mergeCell ref="F4:K4"/>
    <mergeCell ref="F5:K5"/>
    <mergeCell ref="F6:K6"/>
    <mergeCell ref="C9:E9"/>
    <mergeCell ref="F9:G9"/>
    <mergeCell ref="H9:I9"/>
    <mergeCell ref="J9:L9"/>
    <mergeCell ref="D10:E10"/>
    <mergeCell ref="H10:I10"/>
    <mergeCell ref="J10:L10"/>
    <mergeCell ref="D11:E11"/>
    <mergeCell ref="H11:I11"/>
    <mergeCell ref="J11:L11"/>
    <mergeCell ref="C16:D16"/>
    <mergeCell ref="E16:F16"/>
    <mergeCell ref="H18:L22"/>
    <mergeCell ref="B26:M26"/>
    <mergeCell ref="D12:E12"/>
    <mergeCell ref="C14:D14"/>
    <mergeCell ref="E14:F14"/>
    <mergeCell ref="H14:K14"/>
    <mergeCell ref="C15:D15"/>
    <mergeCell ref="E15:F15"/>
    <mergeCell ref="H15:K15"/>
  </mergeCells>
  <dataValidations count="5">
    <dataValidation allowBlank="1" showInputMessage="1" showErrorMessage="1" promptTitle="CompletionDate" prompt="Enter date when the Asset Inventory was completed." sqref="E16:F16" xr:uid="{00000000-0002-0000-0000-000000000000}">
      <formula1>0</formula1>
      <formula2>0</formula2>
    </dataValidation>
    <dataValidation allowBlank="1" showInputMessage="1" showErrorMessage="1" promptTitle="SingedOffDate" prompt="Enter the date the sign off was achieved with the local business." sqref="L15" xr:uid="{00000000-0002-0000-0000-000001000000}">
      <formula1>0</formula1>
      <formula2>0</formula2>
    </dataValidation>
    <dataValidation allowBlank="1" showInputMessage="1" showErrorMessage="1" promptTitle="BISO" prompt="Enter Business Information Security Officer/Your Name." sqref="E15:F15" xr:uid="{00000000-0002-0000-0000-000002000000}">
      <formula1>0</formula1>
      <formula2>0</formula2>
    </dataValidation>
    <dataValidation allowBlank="1" showInputMessage="1" showErrorMessage="1" promptTitle="BusinessName" prompt="Enter the business names(s)." sqref="E14:F14" xr:uid="{00000000-0002-0000-0000-000003000000}">
      <formula1>0</formula1>
      <formula2>0</formula2>
    </dataValidation>
    <dataValidation type="list" allowBlank="1" showInputMessage="1" showErrorMessage="1" promptTitle="SignedOff" prompt="Select either Yes or No." sqref="L14" xr:uid="{00000000-0002-0000-0000-000004000000}">
      <formula1>"Yes,No"</formula1>
      <formula2>0</formula2>
    </dataValidation>
  </dataValidations>
  <hyperlinks>
    <hyperlink ref="F5" r:id="rId1" xr:uid="{00000000-0004-0000-0000-000000000000}"/>
    <hyperlink ref="D10" location="InformationAssetInventory!A1" display="Inventário de Ativos de Informação" xr:uid="{00000000-0004-0000-0000-000001000000}"/>
    <hyperlink ref="D11" location="Guidelines!A1" display="Diretrizes" xr:uid="{00000000-0004-0000-0000-000002000000}"/>
    <hyperlink ref="D12" location="'GAP Analysis'!A1" display="Análise de lacunas" xr:uid="{00000000-0004-0000-0000-000003000000}"/>
    <hyperlink ref="D10:E10" location="InventárioAtivosInformação!A1" display="Inventário de Ativos de Informação" xr:uid="{91B0C078-AE16-45B8-A928-65F61CA5C81E}"/>
    <hyperlink ref="D11:E11" location="Diretrizes!A1" display="Diretrizes" xr:uid="{F32DBBE4-8FD8-4D8C-8AAF-0A62E56DB85A}"/>
    <hyperlink ref="D12:E12" location="'Análise de Lacunas'!A1" display="Análise de Gap" xr:uid="{BA3F8B08-5F84-40AB-B79B-462460FD7807}"/>
  </hyperlinks>
  <pageMargins left="0.7" right="0.7" top="0.75" bottom="0.75" header="0.511811023622047" footer="0.511811023622047"/>
  <pageSetup paperSize="9" orientation="portrait" horizontalDpi="300" verticalDpi="30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J242"/>
  <sheetViews>
    <sheetView zoomScale="80" zoomScaleNormal="80" zoomScalePageLayoutView="40" workbookViewId="0">
      <selection activeCell="A3" sqref="A3"/>
    </sheetView>
  </sheetViews>
  <sheetFormatPr defaultColWidth="9.109375" defaultRowHeight="14.4"/>
  <cols>
    <col min="1" max="1" width="5.6640625" customWidth="1"/>
    <col min="2" max="4" width="26" customWidth="1"/>
    <col min="5" max="6" width="30.6640625" customWidth="1"/>
    <col min="7" max="7" width="32" customWidth="1"/>
    <col min="8" max="10" width="15.5546875" customWidth="1"/>
    <col min="11" max="13" width="25.6640625" customWidth="1"/>
    <col min="14" max="15" width="28.44140625" customWidth="1"/>
    <col min="16" max="17" width="38.109375" customWidth="1"/>
    <col min="18" max="18" width="4.44140625" style="24" customWidth="1"/>
    <col min="19" max="19" width="51.44140625" hidden="1" customWidth="1"/>
    <col min="20" max="20" width="42.109375" hidden="1" customWidth="1"/>
    <col min="21" max="1024" width="9.109375" hidden="1"/>
  </cols>
  <sheetData>
    <row r="1" spans="1:33" s="28" customFormat="1" ht="63" customHeight="1">
      <c r="A1" s="25" t="s">
        <v>3</v>
      </c>
      <c r="B1" s="26"/>
      <c r="C1" s="26"/>
      <c r="D1" s="26"/>
      <c r="E1" s="26"/>
      <c r="F1" s="26"/>
      <c r="G1" s="26"/>
      <c r="H1" s="26"/>
      <c r="I1" s="26"/>
      <c r="J1" s="26"/>
      <c r="K1" s="26"/>
      <c r="L1" s="26"/>
      <c r="M1" s="26"/>
      <c r="N1" s="26"/>
      <c r="O1" s="26"/>
      <c r="P1" s="26"/>
      <c r="Q1" s="26"/>
      <c r="R1" s="26"/>
      <c r="S1" s="26"/>
      <c r="T1" s="27"/>
      <c r="W1" s="29"/>
      <c r="X1" s="29"/>
      <c r="Y1" s="29"/>
      <c r="Z1" s="29"/>
      <c r="AA1" s="29"/>
      <c r="AB1" s="29"/>
      <c r="AC1" s="29"/>
      <c r="AD1" s="29"/>
      <c r="AE1" s="29"/>
      <c r="AF1" s="29"/>
      <c r="AG1" s="29"/>
    </row>
    <row r="2" spans="1:33" ht="16.5" customHeight="1">
      <c r="A2" s="30"/>
      <c r="B2" s="184" t="s">
        <v>22</v>
      </c>
      <c r="C2" s="184"/>
      <c r="D2" s="184"/>
      <c r="E2" s="184" t="s">
        <v>23</v>
      </c>
      <c r="F2" s="184"/>
      <c r="G2" s="184"/>
      <c r="H2" s="184"/>
      <c r="I2" s="184"/>
      <c r="J2" s="184"/>
      <c r="K2" s="184"/>
      <c r="L2" s="184"/>
      <c r="M2" s="184"/>
      <c r="N2" s="184"/>
      <c r="O2" s="31"/>
      <c r="P2" s="185" t="s">
        <v>24</v>
      </c>
      <c r="Q2" s="185"/>
      <c r="R2" s="32"/>
      <c r="S2" s="33" t="s">
        <v>25</v>
      </c>
      <c r="T2" s="34" t="s">
        <v>26</v>
      </c>
      <c r="W2" s="35"/>
      <c r="X2" s="35"/>
      <c r="Y2" s="35"/>
      <c r="Z2" s="35"/>
      <c r="AA2" s="35"/>
      <c r="AB2" s="35"/>
      <c r="AC2" s="35"/>
      <c r="AD2" s="35"/>
      <c r="AE2" s="35"/>
      <c r="AF2" s="35"/>
      <c r="AG2" s="35"/>
    </row>
    <row r="3" spans="1:33" s="145" customFormat="1" ht="87" customHeight="1">
      <c r="A3" s="134" t="s">
        <v>27</v>
      </c>
      <c r="B3" s="135" t="s">
        <v>28</v>
      </c>
      <c r="C3" s="136" t="s">
        <v>29</v>
      </c>
      <c r="D3" s="137" t="s">
        <v>30</v>
      </c>
      <c r="E3" s="135" t="s">
        <v>31</v>
      </c>
      <c r="F3" s="138" t="s">
        <v>32</v>
      </c>
      <c r="G3" s="139" t="s">
        <v>33</v>
      </c>
      <c r="H3" s="139" t="s">
        <v>34</v>
      </c>
      <c r="I3" s="139" t="s">
        <v>35</v>
      </c>
      <c r="J3" s="139" t="s">
        <v>36</v>
      </c>
      <c r="K3" s="138" t="s">
        <v>37</v>
      </c>
      <c r="L3" s="138" t="s">
        <v>38</v>
      </c>
      <c r="M3" s="138" t="s">
        <v>39</v>
      </c>
      <c r="N3" s="139" t="s">
        <v>40</v>
      </c>
      <c r="O3" s="140" t="s">
        <v>41</v>
      </c>
      <c r="P3" s="141" t="s">
        <v>42</v>
      </c>
      <c r="Q3" s="142" t="s">
        <v>43</v>
      </c>
      <c r="R3" s="143"/>
      <c r="S3" s="144" t="s">
        <v>44</v>
      </c>
      <c r="T3" s="144" t="s">
        <v>45</v>
      </c>
      <c r="W3" s="146"/>
      <c r="X3" s="146"/>
      <c r="Y3" s="146"/>
      <c r="Z3" s="146"/>
      <c r="AA3" s="146"/>
      <c r="AB3" s="146"/>
      <c r="AC3" s="146"/>
      <c r="AD3" s="146"/>
      <c r="AE3" s="146"/>
      <c r="AF3" s="146"/>
      <c r="AG3" s="146"/>
    </row>
    <row r="4" spans="1:33" ht="102" customHeight="1">
      <c r="A4" s="42" t="s">
        <v>46</v>
      </c>
      <c r="B4" s="43" t="s">
        <v>47</v>
      </c>
      <c r="C4" s="43" t="s">
        <v>48</v>
      </c>
      <c r="D4" s="44" t="s">
        <v>49</v>
      </c>
      <c r="E4" s="45" t="s">
        <v>50</v>
      </c>
      <c r="F4" s="46" t="s">
        <v>51</v>
      </c>
      <c r="G4" s="47" t="s">
        <v>52</v>
      </c>
      <c r="H4" s="48" t="s">
        <v>226</v>
      </c>
      <c r="I4" s="48" t="s">
        <v>226</v>
      </c>
      <c r="J4" s="48" t="s">
        <v>54</v>
      </c>
      <c r="K4" s="49" t="s">
        <v>55</v>
      </c>
      <c r="L4" s="49" t="s">
        <v>56</v>
      </c>
      <c r="M4" s="49" t="s">
        <v>57</v>
      </c>
      <c r="N4" s="50" t="s">
        <v>58</v>
      </c>
      <c r="O4" s="51" t="s">
        <v>59</v>
      </c>
      <c r="P4" s="52" t="s">
        <v>262</v>
      </c>
      <c r="Q4" s="53" t="s">
        <v>263</v>
      </c>
      <c r="R4" s="54"/>
      <c r="S4" s="55" t="s">
        <v>60</v>
      </c>
      <c r="T4" s="56"/>
      <c r="W4" s="35"/>
      <c r="X4" s="35"/>
      <c r="Y4" s="35"/>
      <c r="Z4" s="35"/>
      <c r="AA4" s="35"/>
      <c r="AB4" s="35"/>
      <c r="AC4" s="35"/>
      <c r="AD4" s="35"/>
      <c r="AE4" s="35"/>
      <c r="AF4" s="35"/>
      <c r="AG4" s="35"/>
    </row>
    <row r="5" spans="1:33" ht="15.6">
      <c r="A5" s="57">
        <v>1</v>
      </c>
      <c r="B5" s="58"/>
      <c r="C5" s="59"/>
      <c r="D5" s="60"/>
      <c r="E5" s="61"/>
      <c r="F5" s="60"/>
      <c r="G5" s="59"/>
      <c r="H5" s="58" t="s">
        <v>226</v>
      </c>
      <c r="I5" s="58" t="s">
        <v>226</v>
      </c>
      <c r="J5" s="58" t="s">
        <v>54</v>
      </c>
      <c r="K5" s="62"/>
      <c r="L5" s="62"/>
      <c r="M5" s="62"/>
      <c r="N5" s="58"/>
      <c r="O5" s="63"/>
      <c r="P5" s="64"/>
      <c r="Q5" s="65"/>
      <c r="R5" s="54"/>
      <c r="S5" s="66"/>
      <c r="T5" s="67"/>
      <c r="W5" s="35"/>
      <c r="X5" s="35"/>
      <c r="Y5" s="35"/>
      <c r="Z5" s="35"/>
      <c r="AA5" s="35"/>
      <c r="AB5" s="35"/>
      <c r="AC5" s="35"/>
      <c r="AD5" s="35"/>
      <c r="AE5" s="35"/>
      <c r="AF5" s="35"/>
      <c r="AG5" s="35"/>
    </row>
    <row r="6" spans="1:33" ht="15.6">
      <c r="A6" s="57">
        <v>2</v>
      </c>
      <c r="B6" s="58"/>
      <c r="C6" s="59"/>
      <c r="D6" s="60"/>
      <c r="E6" s="61"/>
      <c r="F6" s="60"/>
      <c r="G6" s="59"/>
      <c r="H6" s="58"/>
      <c r="I6" s="58"/>
      <c r="J6" s="58"/>
      <c r="K6" s="62"/>
      <c r="L6" s="62"/>
      <c r="M6" s="62"/>
      <c r="N6" s="58"/>
      <c r="O6" s="63"/>
      <c r="P6" s="64"/>
      <c r="Q6" s="65"/>
      <c r="R6" s="54"/>
      <c r="S6" s="66"/>
      <c r="T6" s="66"/>
      <c r="W6" s="35"/>
      <c r="X6" s="35"/>
      <c r="Y6" s="35"/>
      <c r="Z6" s="35"/>
      <c r="AA6" s="35"/>
      <c r="AB6" s="35"/>
      <c r="AC6" s="35"/>
      <c r="AD6" s="35"/>
      <c r="AE6" s="35"/>
      <c r="AF6" s="35"/>
      <c r="AG6" s="35"/>
    </row>
    <row r="7" spans="1:33" ht="15.6">
      <c r="A7" s="57">
        <v>3</v>
      </c>
      <c r="B7" s="58"/>
      <c r="C7" s="59"/>
      <c r="D7" s="60"/>
      <c r="E7" s="61"/>
      <c r="F7" s="60"/>
      <c r="G7" s="59"/>
      <c r="H7" s="58"/>
      <c r="I7" s="58"/>
      <c r="J7" s="58"/>
      <c r="K7" s="62"/>
      <c r="L7" s="62"/>
      <c r="M7" s="62"/>
      <c r="N7" s="58"/>
      <c r="O7" s="63"/>
      <c r="P7" s="64"/>
      <c r="Q7" s="65"/>
      <c r="R7" s="54"/>
      <c r="S7" s="66"/>
      <c r="T7" s="66"/>
      <c r="W7" s="35"/>
      <c r="X7" s="35"/>
      <c r="Y7" s="35"/>
      <c r="Z7" s="35"/>
      <c r="AA7" s="35"/>
      <c r="AB7" s="35"/>
      <c r="AC7" s="35"/>
      <c r="AD7" s="35"/>
      <c r="AE7" s="35"/>
      <c r="AF7" s="35"/>
      <c r="AG7" s="35"/>
    </row>
    <row r="8" spans="1:33" ht="15.6">
      <c r="A8" s="57">
        <v>4</v>
      </c>
      <c r="B8" s="58"/>
      <c r="C8" s="59"/>
      <c r="D8" s="60"/>
      <c r="E8" s="61"/>
      <c r="F8" s="60"/>
      <c r="G8" s="59"/>
      <c r="H8" s="58"/>
      <c r="I8" s="58"/>
      <c r="J8" s="58"/>
      <c r="K8" s="62"/>
      <c r="L8" s="62"/>
      <c r="M8" s="62"/>
      <c r="N8" s="58"/>
      <c r="O8" s="63"/>
      <c r="P8" s="64"/>
      <c r="Q8" s="65"/>
      <c r="R8" s="54"/>
      <c r="S8" s="66"/>
      <c r="T8" s="66"/>
      <c r="W8" s="35"/>
      <c r="X8" s="35"/>
      <c r="Y8" s="35"/>
      <c r="Z8" s="35"/>
      <c r="AA8" s="35"/>
      <c r="AB8" s="35"/>
      <c r="AC8" s="35"/>
      <c r="AD8" s="35"/>
      <c r="AE8" s="35"/>
      <c r="AF8" s="35"/>
      <c r="AG8" s="35"/>
    </row>
    <row r="9" spans="1:33" ht="15.6">
      <c r="A9" s="57">
        <v>5</v>
      </c>
      <c r="B9" s="58"/>
      <c r="C9" s="59"/>
      <c r="D9" s="60"/>
      <c r="E9" s="61"/>
      <c r="F9" s="60"/>
      <c r="G9" s="59"/>
      <c r="H9" s="58"/>
      <c r="I9" s="58"/>
      <c r="J9" s="58"/>
      <c r="K9" s="62"/>
      <c r="L9" s="62"/>
      <c r="M9" s="62"/>
      <c r="N9" s="58"/>
      <c r="O9" s="63"/>
      <c r="P9" s="64"/>
      <c r="Q9" s="65"/>
      <c r="R9" s="54"/>
      <c r="S9" s="66"/>
      <c r="T9" s="66"/>
      <c r="W9" s="35"/>
      <c r="X9" s="35"/>
      <c r="Y9" s="35"/>
      <c r="Z9" s="35"/>
      <c r="AA9" s="35"/>
      <c r="AB9" s="35"/>
      <c r="AC9" s="35"/>
      <c r="AD9" s="35"/>
      <c r="AE9" s="35"/>
      <c r="AF9" s="35"/>
      <c r="AG9" s="35"/>
    </row>
    <row r="10" spans="1:33" ht="15.6">
      <c r="A10" s="57">
        <v>6</v>
      </c>
      <c r="B10" s="58"/>
      <c r="C10" s="59"/>
      <c r="D10" s="60"/>
      <c r="E10" s="61"/>
      <c r="F10" s="60"/>
      <c r="G10" s="59"/>
      <c r="H10" s="58"/>
      <c r="I10" s="58"/>
      <c r="J10" s="58"/>
      <c r="K10" s="62"/>
      <c r="L10" s="62"/>
      <c r="M10" s="62"/>
      <c r="N10" s="58"/>
      <c r="O10" s="63"/>
      <c r="P10" s="64"/>
      <c r="Q10" s="65"/>
      <c r="R10" s="54"/>
      <c r="S10" s="68"/>
      <c r="T10" s="66"/>
      <c r="W10" s="35"/>
      <c r="X10" s="35"/>
      <c r="Y10" s="35"/>
      <c r="Z10" s="35"/>
      <c r="AA10" s="35"/>
      <c r="AB10" s="35"/>
      <c r="AC10" s="35"/>
      <c r="AD10" s="35"/>
      <c r="AE10" s="35"/>
      <c r="AF10" s="35"/>
      <c r="AG10" s="35"/>
    </row>
    <row r="11" spans="1:33" ht="15.6">
      <c r="A11" s="57">
        <v>7</v>
      </c>
      <c r="B11" s="58"/>
      <c r="C11" s="59"/>
      <c r="D11" s="60"/>
      <c r="E11" s="61"/>
      <c r="F11" s="60"/>
      <c r="G11" s="59"/>
      <c r="H11" s="58"/>
      <c r="I11" s="58"/>
      <c r="J11" s="58"/>
      <c r="K11" s="62"/>
      <c r="L11" s="62"/>
      <c r="M11" s="62"/>
      <c r="N11" s="58"/>
      <c r="O11" s="63"/>
      <c r="P11" s="64"/>
      <c r="Q11" s="65"/>
      <c r="R11" s="54"/>
      <c r="S11" s="66"/>
      <c r="T11" s="66"/>
      <c r="W11" s="35"/>
      <c r="X11" s="35"/>
      <c r="Y11" s="35"/>
      <c r="Z11" s="35"/>
      <c r="AA11" s="35"/>
      <c r="AB11" s="35"/>
      <c r="AC11" s="35"/>
      <c r="AD11" s="35"/>
      <c r="AE11" s="35"/>
      <c r="AF11" s="35"/>
      <c r="AG11" s="35"/>
    </row>
    <row r="12" spans="1:33" ht="15.6">
      <c r="A12" s="57">
        <v>8</v>
      </c>
      <c r="B12" s="58"/>
      <c r="C12" s="59"/>
      <c r="D12" s="60"/>
      <c r="E12" s="61"/>
      <c r="F12" s="60"/>
      <c r="G12" s="59"/>
      <c r="H12" s="58"/>
      <c r="I12" s="58"/>
      <c r="J12" s="58"/>
      <c r="K12" s="62"/>
      <c r="L12" s="62"/>
      <c r="M12" s="62"/>
      <c r="N12" s="58"/>
      <c r="O12" s="63"/>
      <c r="P12" s="64"/>
      <c r="Q12" s="65"/>
      <c r="R12" s="54"/>
      <c r="S12" s="66"/>
      <c r="T12" s="66"/>
      <c r="W12" s="35"/>
      <c r="X12" s="35"/>
      <c r="Y12" s="35"/>
      <c r="Z12" s="35"/>
      <c r="AA12" s="35"/>
      <c r="AB12" s="35"/>
      <c r="AC12" s="35"/>
      <c r="AD12" s="35"/>
      <c r="AE12" s="35"/>
      <c r="AF12" s="35"/>
      <c r="AG12" s="35"/>
    </row>
    <row r="13" spans="1:33" ht="15.6">
      <c r="A13" s="57">
        <v>9</v>
      </c>
      <c r="B13" s="58"/>
      <c r="C13" s="59"/>
      <c r="D13" s="60"/>
      <c r="E13" s="61"/>
      <c r="F13" s="60"/>
      <c r="G13" s="59"/>
      <c r="H13" s="58"/>
      <c r="I13" s="58"/>
      <c r="J13" s="58"/>
      <c r="K13" s="62"/>
      <c r="L13" s="62"/>
      <c r="M13" s="62"/>
      <c r="N13" s="58"/>
      <c r="O13" s="63"/>
      <c r="P13" s="64"/>
      <c r="Q13" s="65"/>
      <c r="R13" s="54"/>
      <c r="S13" s="66"/>
      <c r="T13" s="66"/>
      <c r="W13" s="35"/>
      <c r="X13" s="35"/>
      <c r="Y13" s="35"/>
      <c r="Z13" s="35"/>
      <c r="AA13" s="35"/>
      <c r="AB13" s="35"/>
      <c r="AC13" s="35"/>
      <c r="AD13" s="35"/>
      <c r="AE13" s="35"/>
      <c r="AF13" s="35"/>
      <c r="AG13" s="35"/>
    </row>
    <row r="14" spans="1:33" ht="15.6">
      <c r="A14" s="57">
        <v>10</v>
      </c>
      <c r="B14" s="58"/>
      <c r="C14" s="59"/>
      <c r="D14" s="60"/>
      <c r="E14" s="61"/>
      <c r="F14" s="60"/>
      <c r="G14" s="59"/>
      <c r="H14" s="58"/>
      <c r="I14" s="58"/>
      <c r="J14" s="58"/>
      <c r="K14" s="62"/>
      <c r="L14" s="62"/>
      <c r="M14" s="62"/>
      <c r="N14" s="58"/>
      <c r="O14" s="63"/>
      <c r="P14" s="64"/>
      <c r="Q14" s="65"/>
      <c r="R14" s="54"/>
      <c r="S14" s="66"/>
      <c r="T14" s="66"/>
      <c r="W14" s="35"/>
      <c r="X14" s="35"/>
      <c r="Y14" s="35"/>
      <c r="Z14" s="35"/>
      <c r="AA14" s="35"/>
      <c r="AB14" s="35"/>
      <c r="AC14" s="35"/>
      <c r="AD14" s="35"/>
      <c r="AE14" s="35"/>
      <c r="AF14" s="35"/>
      <c r="AG14" s="35"/>
    </row>
    <row r="15" spans="1:33" ht="15.6">
      <c r="A15" s="57">
        <v>11</v>
      </c>
      <c r="B15" s="58"/>
      <c r="C15" s="59"/>
      <c r="D15" s="60"/>
      <c r="E15" s="61"/>
      <c r="F15" s="60"/>
      <c r="G15" s="59"/>
      <c r="H15" s="58"/>
      <c r="I15" s="58"/>
      <c r="J15" s="58"/>
      <c r="K15" s="62"/>
      <c r="L15" s="62"/>
      <c r="M15" s="62"/>
      <c r="N15" s="58"/>
      <c r="O15" s="63"/>
      <c r="P15" s="64"/>
      <c r="Q15" s="65"/>
      <c r="R15" s="54"/>
      <c r="S15" s="66"/>
      <c r="T15" s="66"/>
      <c r="W15" s="35"/>
      <c r="X15" s="35"/>
      <c r="Y15" s="35"/>
      <c r="Z15" s="35"/>
      <c r="AA15" s="35"/>
      <c r="AB15" s="35"/>
      <c r="AC15" s="35"/>
      <c r="AD15" s="35"/>
      <c r="AE15" s="35"/>
      <c r="AF15" s="35"/>
      <c r="AG15" s="35"/>
    </row>
    <row r="16" spans="1:33" ht="15.6">
      <c r="A16" s="57">
        <v>12</v>
      </c>
      <c r="B16" s="58"/>
      <c r="C16" s="59"/>
      <c r="D16" s="60"/>
      <c r="E16" s="61"/>
      <c r="F16" s="60"/>
      <c r="G16" s="59"/>
      <c r="H16" s="58"/>
      <c r="I16" s="58"/>
      <c r="J16" s="58"/>
      <c r="K16" s="62"/>
      <c r="L16" s="62"/>
      <c r="M16" s="62"/>
      <c r="N16" s="58"/>
      <c r="O16" s="63"/>
      <c r="P16" s="64"/>
      <c r="Q16" s="65"/>
      <c r="R16" s="54"/>
      <c r="S16" s="66"/>
      <c r="T16" s="66"/>
      <c r="W16" s="35"/>
      <c r="X16" s="35"/>
      <c r="Y16" s="35"/>
      <c r="Z16" s="35"/>
      <c r="AA16" s="35"/>
      <c r="AB16" s="35"/>
      <c r="AC16" s="35"/>
      <c r="AD16" s="35"/>
      <c r="AE16" s="35"/>
      <c r="AF16" s="35"/>
      <c r="AG16" s="35"/>
    </row>
    <row r="17" spans="1:33" ht="15.6">
      <c r="A17" s="57">
        <v>13</v>
      </c>
      <c r="B17" s="58"/>
      <c r="C17" s="59"/>
      <c r="D17" s="60"/>
      <c r="E17" s="61"/>
      <c r="F17" s="60"/>
      <c r="G17" s="59"/>
      <c r="H17" s="58"/>
      <c r="I17" s="58"/>
      <c r="J17" s="58"/>
      <c r="K17" s="62"/>
      <c r="L17" s="62"/>
      <c r="M17" s="62"/>
      <c r="N17" s="58"/>
      <c r="O17" s="63"/>
      <c r="P17" s="64"/>
      <c r="Q17" s="65"/>
      <c r="R17" s="54"/>
      <c r="S17" s="66"/>
      <c r="T17" s="66"/>
      <c r="W17" s="35"/>
      <c r="X17" s="35"/>
      <c r="Y17" s="35"/>
      <c r="Z17" s="35"/>
      <c r="AA17" s="35"/>
      <c r="AB17" s="35"/>
      <c r="AC17" s="35"/>
      <c r="AD17" s="35"/>
      <c r="AE17" s="35"/>
      <c r="AF17" s="35"/>
      <c r="AG17" s="35"/>
    </row>
    <row r="18" spans="1:33" ht="15.6">
      <c r="A18" s="57">
        <v>14</v>
      </c>
      <c r="B18" s="58"/>
      <c r="C18" s="59"/>
      <c r="D18" s="60"/>
      <c r="E18" s="61"/>
      <c r="F18" s="60"/>
      <c r="G18" s="59"/>
      <c r="H18" s="58"/>
      <c r="I18" s="58"/>
      <c r="J18" s="58"/>
      <c r="K18" s="62"/>
      <c r="L18" s="62"/>
      <c r="M18" s="62"/>
      <c r="N18" s="58"/>
      <c r="O18" s="63"/>
      <c r="P18" s="64"/>
      <c r="Q18" s="65"/>
      <c r="R18" s="54"/>
      <c r="S18" s="68"/>
      <c r="T18" s="66"/>
      <c r="W18" s="35"/>
      <c r="X18" s="35"/>
      <c r="Y18" s="35"/>
      <c r="Z18" s="35"/>
      <c r="AA18" s="35"/>
      <c r="AB18" s="35"/>
      <c r="AC18" s="35"/>
      <c r="AD18" s="35"/>
      <c r="AE18" s="35"/>
      <c r="AF18" s="35"/>
      <c r="AG18" s="35"/>
    </row>
    <row r="19" spans="1:33" ht="15.6">
      <c r="A19" s="57">
        <v>15</v>
      </c>
      <c r="B19" s="58"/>
      <c r="C19" s="59"/>
      <c r="D19" s="60"/>
      <c r="E19" s="61"/>
      <c r="F19" s="60"/>
      <c r="G19" s="59"/>
      <c r="H19" s="58"/>
      <c r="I19" s="58"/>
      <c r="J19" s="58"/>
      <c r="K19" s="62"/>
      <c r="L19" s="62"/>
      <c r="M19" s="62"/>
      <c r="N19" s="58"/>
      <c r="O19" s="63"/>
      <c r="P19" s="64"/>
      <c r="Q19" s="65"/>
      <c r="R19" s="54"/>
      <c r="S19" s="66"/>
      <c r="T19" s="66"/>
      <c r="W19" s="35"/>
      <c r="X19" s="35"/>
      <c r="Y19" s="35"/>
      <c r="Z19" s="35"/>
      <c r="AA19" s="35"/>
      <c r="AB19" s="35"/>
      <c r="AC19" s="35"/>
      <c r="AD19" s="35"/>
      <c r="AE19" s="35"/>
      <c r="AF19" s="35"/>
      <c r="AG19" s="35"/>
    </row>
    <row r="20" spans="1:33" ht="15.6">
      <c r="A20" s="57">
        <v>16</v>
      </c>
      <c r="B20" s="58"/>
      <c r="C20" s="59"/>
      <c r="D20" s="60"/>
      <c r="E20" s="61"/>
      <c r="F20" s="60"/>
      <c r="G20" s="59"/>
      <c r="H20" s="58"/>
      <c r="I20" s="58"/>
      <c r="J20" s="58"/>
      <c r="K20" s="62"/>
      <c r="L20" s="62"/>
      <c r="M20" s="62"/>
      <c r="N20" s="58"/>
      <c r="O20" s="63"/>
      <c r="P20" s="64"/>
      <c r="Q20" s="65"/>
      <c r="R20" s="54"/>
      <c r="S20" s="66"/>
      <c r="T20" s="66"/>
      <c r="W20" s="35"/>
      <c r="X20" s="35"/>
      <c r="Y20" s="35"/>
      <c r="Z20" s="35"/>
      <c r="AA20" s="35"/>
      <c r="AB20" s="35"/>
      <c r="AC20" s="35"/>
      <c r="AD20" s="35"/>
      <c r="AE20" s="35"/>
      <c r="AF20" s="35"/>
      <c r="AG20" s="35"/>
    </row>
    <row r="21" spans="1:33" ht="15.6">
      <c r="A21" s="57">
        <v>17</v>
      </c>
      <c r="B21" s="58"/>
      <c r="C21" s="59"/>
      <c r="D21" s="60"/>
      <c r="E21" s="61"/>
      <c r="F21" s="60"/>
      <c r="G21" s="59"/>
      <c r="H21" s="58"/>
      <c r="I21" s="58"/>
      <c r="J21" s="58"/>
      <c r="K21" s="62"/>
      <c r="L21" s="62"/>
      <c r="M21" s="62"/>
      <c r="N21" s="58"/>
      <c r="O21" s="63"/>
      <c r="P21" s="64"/>
      <c r="Q21" s="65"/>
      <c r="R21" s="54"/>
      <c r="S21" s="66"/>
      <c r="T21" s="66"/>
      <c r="W21" s="35"/>
      <c r="X21" s="35"/>
      <c r="Y21" s="35"/>
      <c r="Z21" s="35"/>
      <c r="AA21" s="35"/>
      <c r="AB21" s="35"/>
      <c r="AC21" s="35"/>
      <c r="AD21" s="35"/>
      <c r="AE21" s="35"/>
      <c r="AF21" s="35"/>
      <c r="AG21" s="35"/>
    </row>
    <row r="22" spans="1:33" ht="15.6">
      <c r="A22" s="57">
        <v>18</v>
      </c>
      <c r="B22" s="58"/>
      <c r="C22" s="59"/>
      <c r="D22" s="60"/>
      <c r="E22" s="61"/>
      <c r="F22" s="60"/>
      <c r="G22" s="59"/>
      <c r="H22" s="58"/>
      <c r="I22" s="58"/>
      <c r="J22" s="58"/>
      <c r="K22" s="62"/>
      <c r="L22" s="62"/>
      <c r="M22" s="62"/>
      <c r="N22" s="58"/>
      <c r="O22" s="63"/>
      <c r="P22" s="64"/>
      <c r="Q22" s="65"/>
      <c r="R22" s="54"/>
      <c r="S22" s="66"/>
      <c r="T22" s="66"/>
      <c r="W22" s="35"/>
      <c r="X22" s="35"/>
      <c r="Y22" s="35"/>
      <c r="Z22" s="35"/>
      <c r="AA22" s="35"/>
      <c r="AB22" s="35"/>
      <c r="AC22" s="35"/>
      <c r="AD22" s="35"/>
      <c r="AE22" s="35"/>
      <c r="AF22" s="35"/>
      <c r="AG22" s="35"/>
    </row>
    <row r="23" spans="1:33" ht="15.6">
      <c r="A23" s="57">
        <v>19</v>
      </c>
      <c r="B23" s="58"/>
      <c r="C23" s="59"/>
      <c r="D23" s="60"/>
      <c r="E23" s="61"/>
      <c r="F23" s="60"/>
      <c r="G23" s="59"/>
      <c r="H23" s="58"/>
      <c r="I23" s="58"/>
      <c r="J23" s="58"/>
      <c r="K23" s="62"/>
      <c r="L23" s="62"/>
      <c r="M23" s="62"/>
      <c r="N23" s="58"/>
      <c r="O23" s="63"/>
      <c r="P23" s="64"/>
      <c r="Q23" s="65"/>
      <c r="R23" s="54"/>
      <c r="S23" s="66"/>
      <c r="T23" s="66"/>
      <c r="W23" s="35"/>
      <c r="X23" s="35"/>
      <c r="Y23" s="35"/>
      <c r="Z23" s="35"/>
      <c r="AA23" s="35"/>
      <c r="AB23" s="35"/>
      <c r="AC23" s="35"/>
      <c r="AD23" s="35"/>
      <c r="AE23" s="35"/>
      <c r="AF23" s="35"/>
      <c r="AG23" s="35"/>
    </row>
    <row r="24" spans="1:33" ht="15.6">
      <c r="A24" s="57">
        <v>20</v>
      </c>
      <c r="B24" s="58"/>
      <c r="C24" s="59"/>
      <c r="D24" s="60"/>
      <c r="E24" s="61"/>
      <c r="F24" s="60"/>
      <c r="G24" s="59"/>
      <c r="H24" s="58"/>
      <c r="I24" s="58"/>
      <c r="J24" s="58"/>
      <c r="K24" s="62"/>
      <c r="L24" s="62"/>
      <c r="M24" s="62"/>
      <c r="N24" s="58"/>
      <c r="O24" s="63"/>
      <c r="P24" s="64"/>
      <c r="Q24" s="65"/>
      <c r="R24" s="54"/>
      <c r="S24" s="66"/>
      <c r="T24" s="66"/>
      <c r="W24" s="35"/>
      <c r="X24" s="35"/>
      <c r="Y24" s="35"/>
      <c r="Z24" s="35"/>
      <c r="AA24" s="35"/>
      <c r="AB24" s="35"/>
      <c r="AC24" s="35"/>
      <c r="AD24" s="35"/>
      <c r="AE24" s="35"/>
      <c r="AF24" s="35"/>
      <c r="AG24" s="35"/>
    </row>
    <row r="25" spans="1:33" ht="15.6">
      <c r="A25" s="57">
        <v>26</v>
      </c>
      <c r="B25" s="58"/>
      <c r="C25" s="59"/>
      <c r="D25" s="59"/>
      <c r="E25" s="61"/>
      <c r="F25" s="60"/>
      <c r="G25" s="59"/>
      <c r="H25" s="58"/>
      <c r="I25" s="58"/>
      <c r="J25" s="58"/>
      <c r="K25" s="62"/>
      <c r="L25" s="62"/>
      <c r="M25" s="62"/>
      <c r="N25" s="58"/>
      <c r="O25" s="63"/>
      <c r="P25" s="64"/>
      <c r="Q25" s="65"/>
      <c r="R25" s="54"/>
      <c r="S25" s="66"/>
      <c r="T25" s="66"/>
      <c r="W25" s="35"/>
      <c r="X25" s="35"/>
      <c r="Y25" s="35"/>
      <c r="Z25" s="35"/>
      <c r="AA25" s="35"/>
      <c r="AB25" s="35"/>
      <c r="AC25" s="35"/>
      <c r="AD25" s="35"/>
      <c r="AE25" s="35"/>
      <c r="AF25" s="35"/>
      <c r="AG25" s="35"/>
    </row>
    <row r="26" spans="1:33" ht="15.6">
      <c r="A26" s="57">
        <v>28</v>
      </c>
      <c r="B26" s="58"/>
      <c r="C26" s="59"/>
      <c r="D26" s="59"/>
      <c r="E26" s="61"/>
      <c r="F26" s="60"/>
      <c r="G26" s="59"/>
      <c r="H26" s="58"/>
      <c r="I26" s="58"/>
      <c r="J26" s="58"/>
      <c r="K26" s="62"/>
      <c r="L26" s="62"/>
      <c r="M26" s="62"/>
      <c r="N26" s="58"/>
      <c r="O26" s="63"/>
      <c r="P26" s="64"/>
      <c r="Q26" s="65"/>
      <c r="R26" s="54"/>
      <c r="S26" s="66"/>
      <c r="T26" s="66"/>
      <c r="W26" s="35"/>
      <c r="X26" s="35"/>
      <c r="Y26" s="35"/>
      <c r="Z26" s="35"/>
      <c r="AA26" s="35"/>
      <c r="AB26" s="35"/>
      <c r="AC26" s="35"/>
      <c r="AD26" s="35"/>
      <c r="AE26" s="35"/>
      <c r="AF26" s="35"/>
      <c r="AG26" s="35"/>
    </row>
    <row r="27" spans="1:33" ht="15.6">
      <c r="A27" s="57">
        <v>29</v>
      </c>
      <c r="B27" s="58"/>
      <c r="C27" s="59"/>
      <c r="D27" s="59"/>
      <c r="E27" s="61"/>
      <c r="F27" s="60"/>
      <c r="G27" s="59"/>
      <c r="H27" s="58"/>
      <c r="I27" s="58"/>
      <c r="J27" s="58"/>
      <c r="K27" s="62"/>
      <c r="L27" s="62"/>
      <c r="M27" s="62"/>
      <c r="N27" s="58"/>
      <c r="O27" s="63"/>
      <c r="P27" s="64"/>
      <c r="Q27" s="65"/>
      <c r="R27" s="54"/>
      <c r="S27" s="66"/>
      <c r="T27" s="66"/>
      <c r="W27" s="35"/>
      <c r="X27" s="35"/>
      <c r="Y27" s="35"/>
      <c r="Z27" s="35"/>
      <c r="AA27" s="35"/>
      <c r="AB27" s="35"/>
      <c r="AC27" s="35"/>
      <c r="AD27" s="35"/>
      <c r="AE27" s="35"/>
      <c r="AF27" s="35"/>
      <c r="AG27" s="35"/>
    </row>
    <row r="28" spans="1:33" ht="15.6">
      <c r="A28" s="57">
        <v>30</v>
      </c>
      <c r="B28" s="58"/>
      <c r="C28" s="59"/>
      <c r="D28" s="59"/>
      <c r="E28" s="61"/>
      <c r="F28" s="60"/>
      <c r="G28" s="59"/>
      <c r="H28" s="58"/>
      <c r="I28" s="58"/>
      <c r="J28" s="58"/>
      <c r="K28" s="62"/>
      <c r="L28" s="62"/>
      <c r="M28" s="62"/>
      <c r="N28" s="58"/>
      <c r="O28" s="63"/>
      <c r="P28" s="64"/>
      <c r="Q28" s="65"/>
      <c r="R28" s="54"/>
      <c r="S28" s="66"/>
      <c r="T28" s="66"/>
      <c r="W28" s="35"/>
      <c r="X28" s="35"/>
      <c r="Y28" s="35"/>
      <c r="Z28" s="35"/>
      <c r="AA28" s="35"/>
      <c r="AB28" s="35"/>
      <c r="AC28" s="35"/>
      <c r="AD28" s="35"/>
      <c r="AE28" s="35"/>
      <c r="AF28" s="35"/>
      <c r="AG28" s="35"/>
    </row>
    <row r="29" spans="1:33" ht="15.6">
      <c r="A29" s="57">
        <v>31</v>
      </c>
      <c r="B29" s="58"/>
      <c r="C29" s="59"/>
      <c r="D29" s="60"/>
      <c r="E29" s="61"/>
      <c r="F29" s="69"/>
      <c r="G29" s="59"/>
      <c r="H29" s="58"/>
      <c r="I29" s="58"/>
      <c r="J29" s="58"/>
      <c r="K29" s="62"/>
      <c r="L29" s="62"/>
      <c r="M29" s="62"/>
      <c r="N29" s="70"/>
      <c r="O29" s="71"/>
      <c r="P29" s="64"/>
      <c r="Q29" s="72"/>
      <c r="R29" s="54"/>
      <c r="S29" s="66"/>
      <c r="T29" s="66"/>
      <c r="W29" s="35"/>
      <c r="X29" s="35"/>
      <c r="Y29" s="35"/>
      <c r="Z29" s="35"/>
      <c r="AA29" s="35"/>
      <c r="AB29" s="35"/>
      <c r="AC29" s="35"/>
      <c r="AD29" s="35"/>
      <c r="AE29" s="35"/>
      <c r="AF29" s="35"/>
      <c r="AG29" s="35"/>
    </row>
    <row r="30" spans="1:33" s="75" customFormat="1" ht="15.6">
      <c r="A30" s="57">
        <v>32</v>
      </c>
      <c r="B30" s="58"/>
      <c r="C30" s="59"/>
      <c r="D30" s="60"/>
      <c r="E30" s="61"/>
      <c r="F30" s="69"/>
      <c r="G30" s="59"/>
      <c r="H30" s="58"/>
      <c r="I30" s="58"/>
      <c r="J30" s="58"/>
      <c r="K30" s="62"/>
      <c r="L30" s="62"/>
      <c r="M30" s="62"/>
      <c r="N30" s="70"/>
      <c r="O30" s="71"/>
      <c r="P30" s="64"/>
      <c r="Q30" s="72"/>
      <c r="R30" s="73"/>
      <c r="S30" s="74"/>
      <c r="T30" s="74"/>
      <c r="W30" s="76"/>
      <c r="X30" s="76"/>
      <c r="Y30" s="76"/>
      <c r="Z30" s="76"/>
      <c r="AA30" s="76"/>
      <c r="AB30" s="76"/>
      <c r="AC30" s="76"/>
      <c r="AD30" s="76"/>
      <c r="AE30" s="76"/>
      <c r="AF30" s="76"/>
      <c r="AG30" s="76"/>
    </row>
    <row r="31" spans="1:33" ht="15.6">
      <c r="A31" s="57">
        <v>33</v>
      </c>
      <c r="B31" s="59"/>
      <c r="C31" s="59"/>
      <c r="D31" s="60"/>
      <c r="E31" s="77"/>
      <c r="F31" s="69"/>
      <c r="G31" s="59"/>
      <c r="H31" s="58"/>
      <c r="I31" s="58"/>
      <c r="J31" s="58"/>
      <c r="K31" s="62"/>
      <c r="L31" s="62"/>
      <c r="M31" s="62"/>
      <c r="N31" s="70"/>
      <c r="O31" s="71"/>
      <c r="P31" s="64"/>
      <c r="Q31" s="72"/>
      <c r="R31" s="54"/>
      <c r="S31" s="66"/>
      <c r="T31" s="66"/>
      <c r="W31" s="35"/>
      <c r="X31" s="35"/>
      <c r="Y31" s="35"/>
      <c r="Z31" s="35"/>
      <c r="AA31" s="35"/>
      <c r="AB31" s="35"/>
      <c r="AC31" s="35"/>
      <c r="AD31" s="35"/>
      <c r="AE31" s="35"/>
      <c r="AF31" s="35"/>
      <c r="AG31" s="35"/>
    </row>
    <row r="32" spans="1:33" ht="15.6">
      <c r="A32" s="57">
        <v>34</v>
      </c>
      <c r="B32" s="59"/>
      <c r="C32" s="59"/>
      <c r="D32" s="60"/>
      <c r="E32" s="77"/>
      <c r="F32" s="69"/>
      <c r="G32" s="59"/>
      <c r="H32" s="58"/>
      <c r="I32" s="58"/>
      <c r="J32" s="58"/>
      <c r="K32" s="62"/>
      <c r="L32" s="62"/>
      <c r="M32" s="62"/>
      <c r="N32" s="70"/>
      <c r="O32" s="71"/>
      <c r="P32" s="64"/>
      <c r="Q32" s="72"/>
      <c r="S32" s="66"/>
      <c r="T32" s="66"/>
    </row>
    <row r="33" spans="1:20" ht="15.6">
      <c r="A33" s="57">
        <v>35</v>
      </c>
      <c r="B33" s="59"/>
      <c r="C33" s="59"/>
      <c r="D33" s="60"/>
      <c r="E33" s="77"/>
      <c r="F33" s="69"/>
      <c r="G33" s="59"/>
      <c r="H33" s="58"/>
      <c r="I33" s="58"/>
      <c r="J33" s="58"/>
      <c r="K33" s="62"/>
      <c r="L33" s="62"/>
      <c r="M33" s="62"/>
      <c r="N33" s="70"/>
      <c r="O33" s="71"/>
      <c r="P33" s="64"/>
      <c r="Q33" s="72"/>
      <c r="S33" s="66"/>
      <c r="T33" s="66"/>
    </row>
    <row r="34" spans="1:20" ht="15.6">
      <c r="A34" s="57">
        <v>36</v>
      </c>
      <c r="B34" s="59"/>
      <c r="C34" s="59"/>
      <c r="D34" s="60"/>
      <c r="E34" s="77"/>
      <c r="F34" s="69"/>
      <c r="G34" s="59"/>
      <c r="H34" s="58"/>
      <c r="I34" s="58"/>
      <c r="J34" s="58"/>
      <c r="K34" s="62"/>
      <c r="L34" s="62"/>
      <c r="M34" s="62"/>
      <c r="N34" s="70"/>
      <c r="O34" s="71"/>
      <c r="P34" s="64"/>
      <c r="Q34" s="72"/>
      <c r="S34" s="66"/>
      <c r="T34" s="66"/>
    </row>
    <row r="35" spans="1:20" ht="15.6">
      <c r="A35" s="57">
        <v>37</v>
      </c>
      <c r="B35" s="59"/>
      <c r="C35" s="59"/>
      <c r="D35" s="60"/>
      <c r="E35" s="77"/>
      <c r="F35" s="69"/>
      <c r="G35" s="59"/>
      <c r="H35" s="58"/>
      <c r="I35" s="58"/>
      <c r="J35" s="58"/>
      <c r="K35" s="62"/>
      <c r="L35" s="62"/>
      <c r="M35" s="62"/>
      <c r="N35" s="70"/>
      <c r="O35" s="71"/>
      <c r="P35" s="64"/>
      <c r="Q35" s="72"/>
      <c r="S35" s="66"/>
      <c r="T35" s="66"/>
    </row>
    <row r="36" spans="1:20" ht="15.6">
      <c r="A36" s="57">
        <v>38</v>
      </c>
      <c r="B36" s="59"/>
      <c r="C36" s="59"/>
      <c r="D36" s="60"/>
      <c r="E36" s="77"/>
      <c r="F36" s="69"/>
      <c r="G36" s="59"/>
      <c r="H36" s="58"/>
      <c r="I36" s="58"/>
      <c r="J36" s="58"/>
      <c r="K36" s="62"/>
      <c r="L36" s="62"/>
      <c r="M36" s="62"/>
      <c r="N36" s="70"/>
      <c r="O36" s="71"/>
      <c r="P36" s="64"/>
      <c r="Q36" s="72"/>
      <c r="S36" s="66"/>
      <c r="T36" s="66"/>
    </row>
    <row r="37" spans="1:20" ht="15.6">
      <c r="A37" s="57">
        <v>39</v>
      </c>
      <c r="B37" s="59"/>
      <c r="C37" s="59"/>
      <c r="D37" s="60"/>
      <c r="E37" s="77"/>
      <c r="F37" s="69"/>
      <c r="G37" s="59"/>
      <c r="H37" s="58"/>
      <c r="I37" s="58"/>
      <c r="J37" s="58"/>
      <c r="K37" s="62"/>
      <c r="L37" s="62"/>
      <c r="M37" s="62"/>
      <c r="N37" s="70"/>
      <c r="O37" s="71"/>
      <c r="P37" s="64"/>
      <c r="Q37" s="72"/>
      <c r="S37" s="66"/>
      <c r="T37" s="66"/>
    </row>
    <row r="38" spans="1:20" ht="15.6">
      <c r="A38" s="57">
        <v>40</v>
      </c>
      <c r="B38" s="59"/>
      <c r="C38" s="59"/>
      <c r="D38" s="60"/>
      <c r="E38" s="77"/>
      <c r="F38" s="69"/>
      <c r="G38" s="59"/>
      <c r="H38" s="58"/>
      <c r="I38" s="58"/>
      <c r="J38" s="58"/>
      <c r="K38" s="62"/>
      <c r="L38" s="62"/>
      <c r="M38" s="62"/>
      <c r="N38" s="70"/>
      <c r="O38" s="71"/>
      <c r="P38" s="64"/>
      <c r="Q38" s="72"/>
      <c r="S38" s="66"/>
      <c r="T38" s="66"/>
    </row>
    <row r="39" spans="1:20" ht="15.6">
      <c r="A39" s="57">
        <v>41</v>
      </c>
      <c r="B39" s="59"/>
      <c r="C39" s="59"/>
      <c r="D39" s="60"/>
      <c r="E39" s="77"/>
      <c r="F39" s="69"/>
      <c r="G39" s="59"/>
      <c r="H39" s="58"/>
      <c r="I39" s="58"/>
      <c r="J39" s="58"/>
      <c r="K39" s="62"/>
      <c r="L39" s="62"/>
      <c r="M39" s="62"/>
      <c r="N39" s="70"/>
      <c r="O39" s="71"/>
      <c r="P39" s="64"/>
      <c r="Q39" s="72"/>
      <c r="S39" s="66"/>
      <c r="T39" s="66"/>
    </row>
    <row r="40" spans="1:20" ht="15.6">
      <c r="A40" s="57">
        <v>42</v>
      </c>
      <c r="B40" s="59"/>
      <c r="C40" s="59"/>
      <c r="D40" s="60"/>
      <c r="E40" s="77"/>
      <c r="F40" s="69"/>
      <c r="G40" s="59"/>
      <c r="H40" s="58"/>
      <c r="I40" s="58"/>
      <c r="J40" s="58"/>
      <c r="K40" s="62"/>
      <c r="L40" s="62"/>
      <c r="M40" s="62"/>
      <c r="N40" s="70"/>
      <c r="O40" s="71"/>
      <c r="P40" s="64"/>
      <c r="Q40" s="72"/>
      <c r="S40" s="66"/>
      <c r="T40" s="66"/>
    </row>
    <row r="41" spans="1:20" ht="15.6">
      <c r="A41" s="57">
        <v>43</v>
      </c>
      <c r="B41" s="59"/>
      <c r="C41" s="59"/>
      <c r="D41" s="60"/>
      <c r="E41" s="77"/>
      <c r="F41" s="69"/>
      <c r="G41" s="59"/>
      <c r="H41" s="58"/>
      <c r="I41" s="58"/>
      <c r="J41" s="58"/>
      <c r="K41" s="62"/>
      <c r="L41" s="62"/>
      <c r="M41" s="62"/>
      <c r="N41" s="70"/>
      <c r="O41" s="71"/>
      <c r="P41" s="64"/>
      <c r="Q41" s="72"/>
      <c r="S41" s="66"/>
      <c r="T41" s="66"/>
    </row>
    <row r="42" spans="1:20" ht="15.6">
      <c r="A42" s="57">
        <v>44</v>
      </c>
      <c r="B42" s="59"/>
      <c r="C42" s="59"/>
      <c r="D42" s="60"/>
      <c r="E42" s="77"/>
      <c r="F42" s="69"/>
      <c r="G42" s="59"/>
      <c r="H42" s="58"/>
      <c r="I42" s="58"/>
      <c r="J42" s="58"/>
      <c r="K42" s="62"/>
      <c r="L42" s="62"/>
      <c r="M42" s="62"/>
      <c r="N42" s="70"/>
      <c r="O42" s="71"/>
      <c r="P42" s="64"/>
      <c r="Q42" s="72"/>
      <c r="S42" s="66"/>
      <c r="T42" s="66"/>
    </row>
    <row r="43" spans="1:20" ht="15.6">
      <c r="A43" s="57">
        <v>45</v>
      </c>
      <c r="B43" s="59"/>
      <c r="C43" s="59"/>
      <c r="D43" s="60"/>
      <c r="E43" s="77"/>
      <c r="F43" s="69"/>
      <c r="G43" s="59"/>
      <c r="H43" s="58"/>
      <c r="I43" s="58"/>
      <c r="J43" s="58"/>
      <c r="K43" s="62"/>
      <c r="L43" s="62"/>
      <c r="M43" s="62"/>
      <c r="N43" s="70"/>
      <c r="O43" s="71"/>
      <c r="P43" s="64"/>
      <c r="Q43" s="72"/>
      <c r="S43" s="66"/>
      <c r="T43" s="66"/>
    </row>
    <row r="44" spans="1:20" ht="15.6">
      <c r="A44" s="57">
        <v>46</v>
      </c>
      <c r="B44" s="59"/>
      <c r="C44" s="59"/>
      <c r="D44" s="60"/>
      <c r="E44" s="77"/>
      <c r="F44" s="69"/>
      <c r="G44" s="59"/>
      <c r="H44" s="58"/>
      <c r="I44" s="58"/>
      <c r="J44" s="58"/>
      <c r="K44" s="62"/>
      <c r="L44" s="62"/>
      <c r="M44" s="62"/>
      <c r="N44" s="70"/>
      <c r="O44" s="71"/>
      <c r="P44" s="64"/>
      <c r="Q44" s="72"/>
      <c r="S44" s="66"/>
      <c r="T44" s="66"/>
    </row>
    <row r="45" spans="1:20" ht="15.6">
      <c r="A45" s="57">
        <v>47</v>
      </c>
      <c r="B45" s="59"/>
      <c r="C45" s="59"/>
      <c r="D45" s="60"/>
      <c r="E45" s="77"/>
      <c r="F45" s="69"/>
      <c r="G45" s="59"/>
      <c r="H45" s="58"/>
      <c r="I45" s="58"/>
      <c r="J45" s="58"/>
      <c r="K45" s="62"/>
      <c r="L45" s="62"/>
      <c r="M45" s="62"/>
      <c r="N45" s="70"/>
      <c r="O45" s="71"/>
      <c r="P45" s="64"/>
      <c r="Q45" s="72"/>
      <c r="S45" s="66"/>
      <c r="T45" s="66"/>
    </row>
    <row r="46" spans="1:20" ht="15.6">
      <c r="A46" s="57">
        <v>48</v>
      </c>
      <c r="B46" s="59"/>
      <c r="C46" s="59"/>
      <c r="D46" s="60"/>
      <c r="E46" s="77"/>
      <c r="F46" s="69"/>
      <c r="G46" s="59"/>
      <c r="H46" s="58"/>
      <c r="I46" s="58"/>
      <c r="J46" s="58"/>
      <c r="K46" s="62"/>
      <c r="L46" s="62"/>
      <c r="M46" s="62"/>
      <c r="N46" s="70"/>
      <c r="O46" s="71"/>
      <c r="P46" s="64"/>
      <c r="Q46" s="72"/>
      <c r="S46" s="66"/>
      <c r="T46" s="66"/>
    </row>
    <row r="47" spans="1:20" ht="15.6">
      <c r="A47" s="57">
        <v>49</v>
      </c>
      <c r="B47" s="59"/>
      <c r="C47" s="59"/>
      <c r="D47" s="60"/>
      <c r="E47" s="77"/>
      <c r="F47" s="69"/>
      <c r="G47" s="59"/>
      <c r="H47" s="58"/>
      <c r="I47" s="58"/>
      <c r="J47" s="58"/>
      <c r="K47" s="62"/>
      <c r="L47" s="62"/>
      <c r="M47" s="62"/>
      <c r="N47" s="70"/>
      <c r="O47" s="71"/>
      <c r="P47" s="64"/>
      <c r="Q47" s="72"/>
      <c r="S47" s="66"/>
      <c r="T47" s="66"/>
    </row>
    <row r="48" spans="1:20" ht="15.6">
      <c r="A48" s="57">
        <v>50</v>
      </c>
      <c r="B48" s="59"/>
      <c r="C48" s="59"/>
      <c r="D48" s="60"/>
      <c r="E48" s="77"/>
      <c r="F48" s="69"/>
      <c r="G48" s="59"/>
      <c r="H48" s="58"/>
      <c r="I48" s="58"/>
      <c r="J48" s="58"/>
      <c r="K48" s="62"/>
      <c r="L48" s="62"/>
      <c r="M48" s="62"/>
      <c r="N48" s="70"/>
      <c r="O48" s="71"/>
      <c r="P48" s="64"/>
      <c r="Q48" s="72"/>
      <c r="S48" s="66"/>
      <c r="T48" s="66"/>
    </row>
    <row r="49" spans="1:20" ht="15.6">
      <c r="A49" s="57">
        <v>51</v>
      </c>
      <c r="B49" s="59"/>
      <c r="C49" s="59"/>
      <c r="D49" s="60"/>
      <c r="E49" s="77"/>
      <c r="F49" s="69"/>
      <c r="G49" s="59"/>
      <c r="H49" s="58"/>
      <c r="I49" s="58"/>
      <c r="J49" s="58"/>
      <c r="K49" s="62"/>
      <c r="L49" s="62"/>
      <c r="M49" s="62"/>
      <c r="N49" s="70"/>
      <c r="O49" s="71"/>
      <c r="P49" s="64"/>
      <c r="Q49" s="72"/>
      <c r="S49" s="66"/>
      <c r="T49" s="66"/>
    </row>
    <row r="50" spans="1:20" ht="15.6">
      <c r="A50" s="57">
        <v>52</v>
      </c>
      <c r="B50" s="59"/>
      <c r="C50" s="59"/>
      <c r="D50" s="60"/>
      <c r="E50" s="77"/>
      <c r="F50" s="69"/>
      <c r="G50" s="59"/>
      <c r="H50" s="58"/>
      <c r="I50" s="58"/>
      <c r="J50" s="58"/>
      <c r="K50" s="62"/>
      <c r="L50" s="62"/>
      <c r="M50" s="62"/>
      <c r="N50" s="70"/>
      <c r="O50" s="71"/>
      <c r="P50" s="64"/>
      <c r="Q50" s="72"/>
      <c r="S50" s="66"/>
      <c r="T50" s="66"/>
    </row>
    <row r="51" spans="1:20" ht="15.6">
      <c r="A51" s="57">
        <v>53</v>
      </c>
      <c r="B51" s="59"/>
      <c r="C51" s="59"/>
      <c r="D51" s="60"/>
      <c r="E51" s="77"/>
      <c r="F51" s="69"/>
      <c r="G51" s="59"/>
      <c r="H51" s="58"/>
      <c r="I51" s="58"/>
      <c r="J51" s="58"/>
      <c r="K51" s="62"/>
      <c r="L51" s="62"/>
      <c r="M51" s="62"/>
      <c r="N51" s="70"/>
      <c r="O51" s="71"/>
      <c r="P51" s="64"/>
      <c r="Q51" s="72"/>
      <c r="S51" s="66"/>
      <c r="T51" s="66"/>
    </row>
    <row r="52" spans="1:20" ht="15.6">
      <c r="A52" s="57">
        <v>54</v>
      </c>
      <c r="B52" s="59"/>
      <c r="C52" s="59"/>
      <c r="D52" s="60"/>
      <c r="E52" s="77"/>
      <c r="F52" s="69"/>
      <c r="G52" s="59"/>
      <c r="H52" s="58"/>
      <c r="I52" s="58"/>
      <c r="J52" s="58"/>
      <c r="K52" s="62"/>
      <c r="L52" s="62"/>
      <c r="M52" s="62"/>
      <c r="N52" s="70"/>
      <c r="O52" s="71"/>
      <c r="P52" s="64"/>
      <c r="Q52" s="72"/>
      <c r="S52" s="66"/>
      <c r="T52" s="66"/>
    </row>
    <row r="53" spans="1:20" ht="15.6">
      <c r="A53" s="57">
        <v>55</v>
      </c>
      <c r="B53" s="59"/>
      <c r="C53" s="59"/>
      <c r="D53" s="60"/>
      <c r="E53" s="77"/>
      <c r="F53" s="69"/>
      <c r="G53" s="59"/>
      <c r="H53" s="58"/>
      <c r="I53" s="58"/>
      <c r="J53" s="58"/>
      <c r="K53" s="62"/>
      <c r="L53" s="62"/>
      <c r="M53" s="62"/>
      <c r="N53" s="70"/>
      <c r="O53" s="71"/>
      <c r="P53" s="64"/>
      <c r="Q53" s="72"/>
      <c r="S53" s="66"/>
      <c r="T53" s="66"/>
    </row>
    <row r="54" spans="1:20" ht="15.6">
      <c r="A54" s="57">
        <v>56</v>
      </c>
      <c r="B54" s="59"/>
      <c r="C54" s="59"/>
      <c r="D54" s="60"/>
      <c r="E54" s="77"/>
      <c r="F54" s="69"/>
      <c r="G54" s="59"/>
      <c r="H54" s="58"/>
      <c r="I54" s="58"/>
      <c r="J54" s="58"/>
      <c r="K54" s="62"/>
      <c r="L54" s="62"/>
      <c r="M54" s="62"/>
      <c r="N54" s="70"/>
      <c r="O54" s="71"/>
      <c r="P54" s="64"/>
      <c r="Q54" s="72"/>
      <c r="S54" s="66"/>
      <c r="T54" s="66"/>
    </row>
    <row r="55" spans="1:20" ht="15.6">
      <c r="A55" s="57">
        <v>57</v>
      </c>
      <c r="B55" s="59"/>
      <c r="C55" s="59"/>
      <c r="D55" s="60"/>
      <c r="E55" s="77"/>
      <c r="F55" s="69"/>
      <c r="G55" s="59"/>
      <c r="H55" s="58"/>
      <c r="I55" s="58"/>
      <c r="J55" s="58"/>
      <c r="K55" s="62"/>
      <c r="L55" s="62"/>
      <c r="M55" s="62"/>
      <c r="N55" s="70"/>
      <c r="O55" s="71"/>
      <c r="P55" s="64"/>
      <c r="Q55" s="72"/>
      <c r="S55" s="66"/>
      <c r="T55" s="66"/>
    </row>
    <row r="56" spans="1:20" ht="15.6">
      <c r="A56" s="57">
        <v>58</v>
      </c>
      <c r="B56" s="59"/>
      <c r="C56" s="59"/>
      <c r="D56" s="60"/>
      <c r="E56" s="77"/>
      <c r="F56" s="69"/>
      <c r="G56" s="59"/>
      <c r="H56" s="58"/>
      <c r="I56" s="58"/>
      <c r="J56" s="58"/>
      <c r="K56" s="62"/>
      <c r="L56" s="62"/>
      <c r="M56" s="62"/>
      <c r="N56" s="70"/>
      <c r="O56" s="71"/>
      <c r="P56" s="64"/>
      <c r="Q56" s="72"/>
      <c r="S56" s="66"/>
      <c r="T56" s="66"/>
    </row>
    <row r="57" spans="1:20" ht="15.6">
      <c r="A57" s="57">
        <v>59</v>
      </c>
      <c r="B57" s="59"/>
      <c r="C57" s="59"/>
      <c r="D57" s="60"/>
      <c r="E57" s="77"/>
      <c r="F57" s="69"/>
      <c r="G57" s="59"/>
      <c r="H57" s="58"/>
      <c r="I57" s="58"/>
      <c r="J57" s="58"/>
      <c r="K57" s="62"/>
      <c r="L57" s="62"/>
      <c r="M57" s="62"/>
      <c r="N57" s="70"/>
      <c r="O57" s="71"/>
      <c r="P57" s="64"/>
      <c r="Q57" s="72"/>
      <c r="S57" s="66"/>
      <c r="T57" s="66"/>
    </row>
    <row r="58" spans="1:20" ht="15.6">
      <c r="A58" s="57">
        <v>60</v>
      </c>
      <c r="B58" s="59"/>
      <c r="C58" s="59"/>
      <c r="D58" s="60"/>
      <c r="E58" s="77"/>
      <c r="F58" s="69"/>
      <c r="G58" s="59"/>
      <c r="H58" s="58"/>
      <c r="I58" s="58"/>
      <c r="J58" s="58"/>
      <c r="K58" s="62"/>
      <c r="L58" s="62"/>
      <c r="M58" s="62"/>
      <c r="N58" s="70"/>
      <c r="O58" s="71"/>
      <c r="P58" s="64"/>
      <c r="Q58" s="72"/>
      <c r="S58" s="66"/>
      <c r="T58" s="66"/>
    </row>
    <row r="59" spans="1:20" ht="15.6">
      <c r="A59" s="57">
        <v>61</v>
      </c>
      <c r="B59" s="59"/>
      <c r="C59" s="59"/>
      <c r="D59" s="60"/>
      <c r="E59" s="77"/>
      <c r="F59" s="69"/>
      <c r="G59" s="59"/>
      <c r="H59" s="58"/>
      <c r="I59" s="58"/>
      <c r="J59" s="58"/>
      <c r="K59" s="62"/>
      <c r="L59" s="62"/>
      <c r="M59" s="62"/>
      <c r="N59" s="70"/>
      <c r="O59" s="71"/>
      <c r="P59" s="64"/>
      <c r="Q59" s="72"/>
      <c r="S59" s="66"/>
      <c r="T59" s="66"/>
    </row>
    <row r="60" spans="1:20" ht="15.6">
      <c r="A60" s="57">
        <v>62</v>
      </c>
      <c r="B60" s="59"/>
      <c r="C60" s="59"/>
      <c r="D60" s="60"/>
      <c r="E60" s="77"/>
      <c r="F60" s="69"/>
      <c r="G60" s="59"/>
      <c r="H60" s="58"/>
      <c r="I60" s="58"/>
      <c r="J60" s="58"/>
      <c r="K60" s="62"/>
      <c r="L60" s="62"/>
      <c r="M60" s="62"/>
      <c r="N60" s="70"/>
      <c r="O60" s="71"/>
      <c r="P60" s="64"/>
      <c r="Q60" s="72"/>
      <c r="S60" s="66"/>
      <c r="T60" s="66"/>
    </row>
    <row r="61" spans="1:20" ht="15.6">
      <c r="A61" s="57">
        <v>63</v>
      </c>
      <c r="B61" s="59"/>
      <c r="C61" s="59"/>
      <c r="D61" s="60"/>
      <c r="E61" s="77"/>
      <c r="F61" s="69"/>
      <c r="G61" s="59"/>
      <c r="H61" s="58"/>
      <c r="I61" s="58"/>
      <c r="J61" s="58"/>
      <c r="K61" s="62"/>
      <c r="L61" s="62"/>
      <c r="M61" s="62"/>
      <c r="N61" s="70"/>
      <c r="O61" s="71"/>
      <c r="P61" s="64"/>
      <c r="Q61" s="72"/>
      <c r="S61" s="66"/>
      <c r="T61" s="66"/>
    </row>
    <row r="62" spans="1:20" ht="15.6">
      <c r="A62" s="57">
        <v>64</v>
      </c>
      <c r="B62" s="59"/>
      <c r="C62" s="59"/>
      <c r="D62" s="60"/>
      <c r="E62" s="77"/>
      <c r="F62" s="69"/>
      <c r="G62" s="59"/>
      <c r="H62" s="58"/>
      <c r="I62" s="58"/>
      <c r="J62" s="58"/>
      <c r="K62" s="62"/>
      <c r="L62" s="62"/>
      <c r="M62" s="62"/>
      <c r="N62" s="70"/>
      <c r="O62" s="71"/>
      <c r="P62" s="64"/>
      <c r="Q62" s="72"/>
      <c r="S62" s="66"/>
      <c r="T62" s="66"/>
    </row>
    <row r="63" spans="1:20" ht="15.6">
      <c r="A63" s="57">
        <v>65</v>
      </c>
      <c r="B63" s="59"/>
      <c r="C63" s="59"/>
      <c r="D63" s="60"/>
      <c r="E63" s="77"/>
      <c r="F63" s="69"/>
      <c r="G63" s="59"/>
      <c r="H63" s="58"/>
      <c r="I63" s="58"/>
      <c r="J63" s="58"/>
      <c r="K63" s="62"/>
      <c r="L63" s="62"/>
      <c r="M63" s="62"/>
      <c r="N63" s="70"/>
      <c r="O63" s="71"/>
      <c r="P63" s="64"/>
      <c r="Q63" s="72"/>
      <c r="S63" s="66"/>
      <c r="T63" s="66"/>
    </row>
    <row r="64" spans="1:20" ht="15.6">
      <c r="A64" s="57">
        <v>66</v>
      </c>
      <c r="B64" s="59"/>
      <c r="C64" s="59"/>
      <c r="D64" s="60"/>
      <c r="E64" s="77"/>
      <c r="F64" s="69"/>
      <c r="G64" s="59"/>
      <c r="H64" s="58"/>
      <c r="I64" s="58"/>
      <c r="J64" s="58"/>
      <c r="K64" s="62"/>
      <c r="L64" s="62"/>
      <c r="M64" s="62"/>
      <c r="N64" s="70"/>
      <c r="O64" s="71"/>
      <c r="P64" s="64"/>
      <c r="Q64" s="72"/>
      <c r="S64" s="66"/>
      <c r="T64" s="66"/>
    </row>
    <row r="65" spans="1:20" ht="15.6">
      <c r="A65" s="57">
        <v>67</v>
      </c>
      <c r="B65" s="59"/>
      <c r="C65" s="59"/>
      <c r="D65" s="60"/>
      <c r="E65" s="77"/>
      <c r="F65" s="69"/>
      <c r="G65" s="59"/>
      <c r="H65" s="58"/>
      <c r="I65" s="58"/>
      <c r="J65" s="58"/>
      <c r="K65" s="62"/>
      <c r="L65" s="62"/>
      <c r="M65" s="62"/>
      <c r="N65" s="70"/>
      <c r="O65" s="71"/>
      <c r="P65" s="64"/>
      <c r="Q65" s="72"/>
      <c r="S65" s="66"/>
      <c r="T65" s="66"/>
    </row>
    <row r="66" spans="1:20" ht="15.6">
      <c r="A66" s="57">
        <v>68</v>
      </c>
      <c r="B66" s="59"/>
      <c r="C66" s="59"/>
      <c r="D66" s="60"/>
      <c r="E66" s="77"/>
      <c r="F66" s="69"/>
      <c r="G66" s="59"/>
      <c r="H66" s="58"/>
      <c r="I66" s="58"/>
      <c r="J66" s="58"/>
      <c r="K66" s="62"/>
      <c r="L66" s="62"/>
      <c r="M66" s="62"/>
      <c r="N66" s="70"/>
      <c r="O66" s="71"/>
      <c r="P66" s="64"/>
      <c r="Q66" s="72"/>
      <c r="S66" s="66"/>
      <c r="T66" s="66"/>
    </row>
    <row r="67" spans="1:20" ht="15.6">
      <c r="A67" s="57">
        <v>69</v>
      </c>
      <c r="B67" s="59"/>
      <c r="C67" s="59"/>
      <c r="D67" s="60"/>
      <c r="E67" s="77"/>
      <c r="F67" s="69"/>
      <c r="G67" s="59"/>
      <c r="H67" s="58"/>
      <c r="I67" s="58"/>
      <c r="J67" s="58"/>
      <c r="K67" s="62"/>
      <c r="L67" s="62"/>
      <c r="M67" s="62"/>
      <c r="N67" s="70"/>
      <c r="O67" s="71"/>
      <c r="P67" s="64"/>
      <c r="Q67" s="72"/>
      <c r="S67" s="66"/>
      <c r="T67" s="66"/>
    </row>
    <row r="68" spans="1:20" ht="15.6">
      <c r="A68" s="57">
        <v>70</v>
      </c>
      <c r="B68" s="59"/>
      <c r="C68" s="59"/>
      <c r="D68" s="60"/>
      <c r="E68" s="77"/>
      <c r="F68" s="69"/>
      <c r="G68" s="59"/>
      <c r="H68" s="58"/>
      <c r="I68" s="58"/>
      <c r="J68" s="58"/>
      <c r="K68" s="62"/>
      <c r="L68" s="62"/>
      <c r="M68" s="62"/>
      <c r="N68" s="70"/>
      <c r="O68" s="71"/>
      <c r="P68" s="64"/>
      <c r="Q68" s="72"/>
      <c r="S68" s="66"/>
      <c r="T68" s="66"/>
    </row>
    <row r="69" spans="1:20" ht="15.6">
      <c r="A69" s="57">
        <v>71</v>
      </c>
      <c r="B69" s="59"/>
      <c r="C69" s="59"/>
      <c r="D69" s="60"/>
      <c r="E69" s="77"/>
      <c r="F69" s="69"/>
      <c r="G69" s="59"/>
      <c r="H69" s="58"/>
      <c r="I69" s="58"/>
      <c r="J69" s="58"/>
      <c r="K69" s="62"/>
      <c r="L69" s="62"/>
      <c r="M69" s="62"/>
      <c r="N69" s="70"/>
      <c r="O69" s="71"/>
      <c r="P69" s="64"/>
      <c r="Q69" s="72"/>
      <c r="S69" s="66"/>
      <c r="T69" s="66"/>
    </row>
    <row r="70" spans="1:20" ht="15.6">
      <c r="A70" s="57">
        <v>72</v>
      </c>
      <c r="B70" s="59"/>
      <c r="C70" s="59"/>
      <c r="D70" s="60"/>
      <c r="E70" s="77"/>
      <c r="F70" s="69"/>
      <c r="G70" s="59"/>
      <c r="H70" s="58"/>
      <c r="I70" s="58"/>
      <c r="J70" s="58"/>
      <c r="K70" s="62"/>
      <c r="L70" s="62"/>
      <c r="M70" s="62"/>
      <c r="N70" s="70"/>
      <c r="O70" s="71"/>
      <c r="P70" s="64"/>
      <c r="Q70" s="72"/>
      <c r="S70" s="66"/>
      <c r="T70" s="66"/>
    </row>
    <row r="71" spans="1:20" ht="15.6">
      <c r="A71" s="57">
        <v>73</v>
      </c>
      <c r="B71" s="59"/>
      <c r="C71" s="59"/>
      <c r="D71" s="60"/>
      <c r="E71" s="77"/>
      <c r="F71" s="69"/>
      <c r="G71" s="59"/>
      <c r="H71" s="58"/>
      <c r="I71" s="58"/>
      <c r="J71" s="58"/>
      <c r="K71" s="62"/>
      <c r="L71" s="62"/>
      <c r="M71" s="62"/>
      <c r="N71" s="70"/>
      <c r="O71" s="71"/>
      <c r="P71" s="64"/>
      <c r="Q71" s="72"/>
      <c r="S71" s="66"/>
      <c r="T71" s="66"/>
    </row>
    <row r="72" spans="1:20" ht="15.6">
      <c r="A72" s="57">
        <v>74</v>
      </c>
      <c r="B72" s="59"/>
      <c r="C72" s="59"/>
      <c r="D72" s="60"/>
      <c r="E72" s="77"/>
      <c r="F72" s="69"/>
      <c r="G72" s="59"/>
      <c r="H72" s="58"/>
      <c r="I72" s="58"/>
      <c r="J72" s="58"/>
      <c r="K72" s="62"/>
      <c r="L72" s="62"/>
      <c r="M72" s="62"/>
      <c r="N72" s="70"/>
      <c r="O72" s="71"/>
      <c r="P72" s="64"/>
      <c r="Q72" s="72"/>
      <c r="S72" s="66"/>
      <c r="T72" s="66"/>
    </row>
    <row r="73" spans="1:20" ht="15.6">
      <c r="A73" s="57">
        <v>75</v>
      </c>
      <c r="B73" s="59"/>
      <c r="C73" s="59"/>
      <c r="D73" s="60"/>
      <c r="E73" s="77"/>
      <c r="F73" s="69"/>
      <c r="G73" s="59"/>
      <c r="H73" s="58"/>
      <c r="I73" s="58"/>
      <c r="J73" s="58"/>
      <c r="K73" s="62"/>
      <c r="L73" s="62"/>
      <c r="M73" s="62"/>
      <c r="N73" s="70"/>
      <c r="O73" s="71"/>
      <c r="P73" s="64"/>
      <c r="Q73" s="72"/>
      <c r="S73" s="66"/>
      <c r="T73" s="66"/>
    </row>
    <row r="74" spans="1:20" ht="15.6">
      <c r="A74" s="57">
        <v>76</v>
      </c>
      <c r="B74" s="59"/>
      <c r="C74" s="59"/>
      <c r="D74" s="60"/>
      <c r="E74" s="77"/>
      <c r="F74" s="69"/>
      <c r="G74" s="59"/>
      <c r="H74" s="58"/>
      <c r="I74" s="58"/>
      <c r="J74" s="58"/>
      <c r="K74" s="62"/>
      <c r="L74" s="62"/>
      <c r="M74" s="62"/>
      <c r="N74" s="70"/>
      <c r="O74" s="71"/>
      <c r="P74" s="64"/>
      <c r="Q74" s="72"/>
      <c r="S74" s="66"/>
      <c r="T74" s="66"/>
    </row>
    <row r="75" spans="1:20" ht="15.6">
      <c r="A75" s="57">
        <v>77</v>
      </c>
      <c r="B75" s="59"/>
      <c r="C75" s="59"/>
      <c r="D75" s="60"/>
      <c r="E75" s="77"/>
      <c r="F75" s="69"/>
      <c r="G75" s="59"/>
      <c r="H75" s="58"/>
      <c r="I75" s="58"/>
      <c r="J75" s="58"/>
      <c r="K75" s="62"/>
      <c r="L75" s="62"/>
      <c r="M75" s="62"/>
      <c r="N75" s="70"/>
      <c r="O75" s="71"/>
      <c r="P75" s="64"/>
      <c r="Q75" s="72"/>
      <c r="S75" s="66"/>
      <c r="T75" s="66"/>
    </row>
    <row r="76" spans="1:20" ht="15.6">
      <c r="A76" s="57">
        <v>78</v>
      </c>
      <c r="B76" s="59"/>
      <c r="C76" s="59"/>
      <c r="D76" s="60"/>
      <c r="E76" s="77"/>
      <c r="F76" s="69"/>
      <c r="G76" s="59"/>
      <c r="H76" s="58"/>
      <c r="I76" s="58"/>
      <c r="J76" s="58"/>
      <c r="K76" s="62"/>
      <c r="L76" s="62"/>
      <c r="M76" s="62"/>
      <c r="N76" s="70"/>
      <c r="O76" s="71"/>
      <c r="P76" s="64"/>
      <c r="Q76" s="72"/>
      <c r="S76" s="66"/>
      <c r="T76" s="66"/>
    </row>
    <row r="77" spans="1:20" ht="15.6">
      <c r="A77" s="57">
        <v>79</v>
      </c>
      <c r="B77" s="59"/>
      <c r="C77" s="59"/>
      <c r="D77" s="60"/>
      <c r="E77" s="77"/>
      <c r="F77" s="69"/>
      <c r="G77" s="59"/>
      <c r="H77" s="58"/>
      <c r="I77" s="58"/>
      <c r="J77" s="58"/>
      <c r="K77" s="62"/>
      <c r="L77" s="62"/>
      <c r="M77" s="62"/>
      <c r="N77" s="70"/>
      <c r="O77" s="71"/>
      <c r="P77" s="64"/>
      <c r="Q77" s="72"/>
      <c r="S77" s="66"/>
      <c r="T77" s="66"/>
    </row>
    <row r="78" spans="1:20" ht="15.6">
      <c r="A78" s="57">
        <v>80</v>
      </c>
      <c r="B78" s="59"/>
      <c r="C78" s="59"/>
      <c r="D78" s="60"/>
      <c r="E78" s="77"/>
      <c r="F78" s="69"/>
      <c r="G78" s="59"/>
      <c r="H78" s="58"/>
      <c r="I78" s="58"/>
      <c r="J78" s="58"/>
      <c r="K78" s="62"/>
      <c r="L78" s="62"/>
      <c r="M78" s="62"/>
      <c r="N78" s="70"/>
      <c r="O78" s="71"/>
      <c r="P78" s="64"/>
      <c r="Q78" s="72"/>
      <c r="S78" s="66"/>
      <c r="T78" s="66"/>
    </row>
    <row r="79" spans="1:20" ht="15.6">
      <c r="A79" s="57">
        <v>81</v>
      </c>
      <c r="B79" s="59"/>
      <c r="C79" s="59"/>
      <c r="D79" s="60"/>
      <c r="E79" s="77"/>
      <c r="F79" s="69"/>
      <c r="G79" s="59"/>
      <c r="H79" s="58"/>
      <c r="I79" s="58"/>
      <c r="J79" s="58"/>
      <c r="K79" s="62"/>
      <c r="L79" s="62"/>
      <c r="M79" s="62"/>
      <c r="N79" s="70"/>
      <c r="O79" s="71"/>
      <c r="P79" s="64"/>
      <c r="Q79" s="72"/>
      <c r="S79" s="66"/>
      <c r="T79" s="66"/>
    </row>
    <row r="80" spans="1:20" ht="15.6">
      <c r="A80" s="57">
        <v>82</v>
      </c>
      <c r="B80" s="59"/>
      <c r="C80" s="59"/>
      <c r="D80" s="60"/>
      <c r="E80" s="77"/>
      <c r="F80" s="69"/>
      <c r="G80" s="59"/>
      <c r="H80" s="58"/>
      <c r="I80" s="58"/>
      <c r="J80" s="58"/>
      <c r="K80" s="62"/>
      <c r="L80" s="62"/>
      <c r="M80" s="62"/>
      <c r="N80" s="70"/>
      <c r="O80" s="71"/>
      <c r="P80" s="64"/>
      <c r="Q80" s="72"/>
      <c r="S80" s="66"/>
      <c r="T80" s="66"/>
    </row>
    <row r="81" spans="1:20" ht="15.6">
      <c r="A81" s="57">
        <v>83</v>
      </c>
      <c r="B81" s="59"/>
      <c r="C81" s="59"/>
      <c r="D81" s="60"/>
      <c r="E81" s="77"/>
      <c r="F81" s="69"/>
      <c r="G81" s="59"/>
      <c r="H81" s="58"/>
      <c r="I81" s="58"/>
      <c r="J81" s="58"/>
      <c r="K81" s="62"/>
      <c r="L81" s="62"/>
      <c r="M81" s="62"/>
      <c r="N81" s="70"/>
      <c r="O81" s="71"/>
      <c r="P81" s="64"/>
      <c r="Q81" s="72"/>
      <c r="S81" s="66"/>
      <c r="T81" s="66"/>
    </row>
    <row r="82" spans="1:20" ht="15.6">
      <c r="A82" s="57">
        <v>84</v>
      </c>
      <c r="B82" s="59"/>
      <c r="C82" s="59"/>
      <c r="D82" s="60"/>
      <c r="E82" s="77"/>
      <c r="F82" s="69"/>
      <c r="G82" s="59"/>
      <c r="H82" s="58"/>
      <c r="I82" s="58"/>
      <c r="J82" s="58"/>
      <c r="K82" s="62"/>
      <c r="L82" s="62"/>
      <c r="M82" s="62"/>
      <c r="N82" s="70"/>
      <c r="O82" s="71"/>
      <c r="P82" s="64"/>
      <c r="Q82" s="72"/>
      <c r="S82" s="66"/>
      <c r="T82" s="66"/>
    </row>
    <row r="83" spans="1:20" ht="15.6">
      <c r="A83" s="57">
        <v>85</v>
      </c>
      <c r="B83" s="59"/>
      <c r="C83" s="59"/>
      <c r="D83" s="60"/>
      <c r="E83" s="77"/>
      <c r="F83" s="69"/>
      <c r="G83" s="59"/>
      <c r="H83" s="58"/>
      <c r="I83" s="58"/>
      <c r="J83" s="58"/>
      <c r="K83" s="62"/>
      <c r="L83" s="62"/>
      <c r="M83" s="62"/>
      <c r="N83" s="70"/>
      <c r="O83" s="71"/>
      <c r="P83" s="64"/>
      <c r="Q83" s="72"/>
      <c r="S83" s="66"/>
      <c r="T83" s="66"/>
    </row>
    <row r="84" spans="1:20" ht="15.6">
      <c r="A84" s="57">
        <v>86</v>
      </c>
      <c r="B84" s="59"/>
      <c r="C84" s="59"/>
      <c r="D84" s="60"/>
      <c r="E84" s="77"/>
      <c r="F84" s="69"/>
      <c r="G84" s="59"/>
      <c r="H84" s="58"/>
      <c r="I84" s="58"/>
      <c r="J84" s="58"/>
      <c r="K84" s="62"/>
      <c r="L84" s="62"/>
      <c r="M84" s="62"/>
      <c r="N84" s="70"/>
      <c r="O84" s="71"/>
      <c r="P84" s="64"/>
      <c r="Q84" s="72"/>
      <c r="S84" s="66"/>
      <c r="T84" s="66"/>
    </row>
    <row r="85" spans="1:20" ht="15.6">
      <c r="A85" s="57">
        <v>87</v>
      </c>
      <c r="B85" s="59"/>
      <c r="C85" s="59"/>
      <c r="D85" s="60"/>
      <c r="E85" s="77"/>
      <c r="F85" s="69"/>
      <c r="G85" s="59"/>
      <c r="H85" s="58"/>
      <c r="I85" s="58"/>
      <c r="J85" s="58"/>
      <c r="K85" s="62"/>
      <c r="L85" s="62"/>
      <c r="M85" s="62"/>
      <c r="N85" s="70"/>
      <c r="O85" s="71"/>
      <c r="P85" s="64"/>
      <c r="Q85" s="72"/>
      <c r="S85" s="66"/>
      <c r="T85" s="66"/>
    </row>
    <row r="86" spans="1:20" ht="15.6">
      <c r="A86" s="57">
        <v>88</v>
      </c>
      <c r="B86" s="59"/>
      <c r="C86" s="59"/>
      <c r="D86" s="60"/>
      <c r="E86" s="77"/>
      <c r="F86" s="69"/>
      <c r="G86" s="59"/>
      <c r="H86" s="58"/>
      <c r="I86" s="58"/>
      <c r="J86" s="58"/>
      <c r="K86" s="62"/>
      <c r="L86" s="62"/>
      <c r="M86" s="62"/>
      <c r="N86" s="70"/>
      <c r="O86" s="71"/>
      <c r="P86" s="64"/>
      <c r="Q86" s="72"/>
      <c r="S86" s="66"/>
      <c r="T86" s="66"/>
    </row>
    <row r="87" spans="1:20" ht="15.6">
      <c r="A87" s="57">
        <v>89</v>
      </c>
      <c r="B87" s="59"/>
      <c r="C87" s="59"/>
      <c r="D87" s="60"/>
      <c r="E87" s="77"/>
      <c r="F87" s="69"/>
      <c r="G87" s="59"/>
      <c r="H87" s="58"/>
      <c r="I87" s="58"/>
      <c r="J87" s="58"/>
      <c r="K87" s="62"/>
      <c r="L87" s="62"/>
      <c r="M87" s="62"/>
      <c r="N87" s="70"/>
      <c r="O87" s="71"/>
      <c r="P87" s="64"/>
      <c r="Q87" s="72"/>
      <c r="S87" s="66"/>
      <c r="T87" s="66"/>
    </row>
    <row r="88" spans="1:20" ht="15.6">
      <c r="A88" s="57">
        <v>90</v>
      </c>
      <c r="B88" s="59"/>
      <c r="C88" s="59"/>
      <c r="D88" s="60"/>
      <c r="E88" s="77"/>
      <c r="F88" s="69"/>
      <c r="G88" s="59"/>
      <c r="H88" s="58"/>
      <c r="I88" s="58"/>
      <c r="J88" s="58"/>
      <c r="K88" s="62"/>
      <c r="L88" s="62"/>
      <c r="M88" s="62"/>
      <c r="N88" s="70"/>
      <c r="O88" s="71"/>
      <c r="P88" s="64"/>
      <c r="Q88" s="72"/>
      <c r="S88" s="66"/>
      <c r="T88" s="66"/>
    </row>
    <row r="89" spans="1:20" ht="15.6">
      <c r="A89" s="57">
        <v>91</v>
      </c>
      <c r="B89" s="59"/>
      <c r="C89" s="59"/>
      <c r="D89" s="60"/>
      <c r="E89" s="77"/>
      <c r="F89" s="69"/>
      <c r="G89" s="59"/>
      <c r="H89" s="58"/>
      <c r="I89" s="58"/>
      <c r="J89" s="58"/>
      <c r="K89" s="62"/>
      <c r="L89" s="62"/>
      <c r="M89" s="62"/>
      <c r="N89" s="70"/>
      <c r="O89" s="71"/>
      <c r="P89" s="64"/>
      <c r="Q89" s="72"/>
      <c r="S89" s="66"/>
      <c r="T89" s="66"/>
    </row>
    <row r="90" spans="1:20" ht="15.6">
      <c r="A90" s="57">
        <v>92</v>
      </c>
      <c r="B90" s="59"/>
      <c r="C90" s="59"/>
      <c r="D90" s="60"/>
      <c r="E90" s="77"/>
      <c r="F90" s="69"/>
      <c r="G90" s="59"/>
      <c r="H90" s="58"/>
      <c r="I90" s="58"/>
      <c r="J90" s="58"/>
      <c r="K90" s="62"/>
      <c r="L90" s="62"/>
      <c r="M90" s="62"/>
      <c r="N90" s="70"/>
      <c r="O90" s="71"/>
      <c r="P90" s="64"/>
      <c r="Q90" s="72"/>
      <c r="S90" s="66"/>
      <c r="T90" s="66"/>
    </row>
    <row r="91" spans="1:20" ht="15.6">
      <c r="A91" s="57">
        <v>93</v>
      </c>
      <c r="B91" s="59"/>
      <c r="C91" s="59"/>
      <c r="D91" s="60"/>
      <c r="E91" s="77"/>
      <c r="F91" s="69"/>
      <c r="G91" s="59"/>
      <c r="H91" s="58"/>
      <c r="I91" s="58"/>
      <c r="J91" s="58"/>
      <c r="K91" s="62"/>
      <c r="L91" s="62"/>
      <c r="M91" s="62"/>
      <c r="N91" s="70"/>
      <c r="O91" s="71"/>
      <c r="P91" s="64"/>
      <c r="Q91" s="72"/>
      <c r="S91" s="66"/>
      <c r="T91" s="66"/>
    </row>
    <row r="92" spans="1:20" ht="15.6">
      <c r="A92" s="57">
        <v>94</v>
      </c>
      <c r="B92" s="59"/>
      <c r="C92" s="59"/>
      <c r="D92" s="60"/>
      <c r="E92" s="77"/>
      <c r="F92" s="69"/>
      <c r="G92" s="59"/>
      <c r="H92" s="58"/>
      <c r="I92" s="58"/>
      <c r="J92" s="58"/>
      <c r="K92" s="62"/>
      <c r="L92" s="62"/>
      <c r="M92" s="62"/>
      <c r="N92" s="70"/>
      <c r="O92" s="71"/>
      <c r="P92" s="64"/>
      <c r="Q92" s="72"/>
      <c r="S92" s="66"/>
      <c r="T92" s="66"/>
    </row>
    <row r="93" spans="1:20" ht="15.6">
      <c r="A93" s="57">
        <v>95</v>
      </c>
      <c r="B93" s="59"/>
      <c r="C93" s="59"/>
      <c r="D93" s="60"/>
      <c r="E93" s="77"/>
      <c r="F93" s="69"/>
      <c r="G93" s="59"/>
      <c r="H93" s="58"/>
      <c r="I93" s="58"/>
      <c r="J93" s="58"/>
      <c r="K93" s="62"/>
      <c r="L93" s="62"/>
      <c r="M93" s="62"/>
      <c r="N93" s="70"/>
      <c r="O93" s="71"/>
      <c r="P93" s="64"/>
      <c r="Q93" s="72"/>
      <c r="S93" s="66"/>
      <c r="T93" s="66"/>
    </row>
    <row r="94" spans="1:20" ht="15.6">
      <c r="A94" s="57">
        <v>96</v>
      </c>
      <c r="B94" s="59"/>
      <c r="C94" s="59"/>
      <c r="D94" s="60"/>
      <c r="E94" s="77"/>
      <c r="F94" s="69"/>
      <c r="G94" s="59"/>
      <c r="H94" s="58"/>
      <c r="I94" s="58"/>
      <c r="J94" s="58"/>
      <c r="K94" s="62"/>
      <c r="L94" s="62"/>
      <c r="M94" s="62"/>
      <c r="N94" s="70"/>
      <c r="O94" s="71"/>
      <c r="P94" s="64"/>
      <c r="Q94" s="72"/>
      <c r="S94" s="66"/>
      <c r="T94" s="66"/>
    </row>
    <row r="95" spans="1:20" ht="15.6">
      <c r="A95" s="57">
        <v>97</v>
      </c>
      <c r="B95" s="59"/>
      <c r="C95" s="59"/>
      <c r="D95" s="60"/>
      <c r="E95" s="77"/>
      <c r="F95" s="69"/>
      <c r="G95" s="59"/>
      <c r="H95" s="58"/>
      <c r="I95" s="58"/>
      <c r="J95" s="58"/>
      <c r="K95" s="62"/>
      <c r="L95" s="62"/>
      <c r="M95" s="62"/>
      <c r="N95" s="70"/>
      <c r="O95" s="71"/>
      <c r="P95" s="64"/>
      <c r="Q95" s="72"/>
      <c r="S95" s="66"/>
      <c r="T95" s="66"/>
    </row>
    <row r="96" spans="1:20" ht="15.6">
      <c r="A96" s="57">
        <v>98</v>
      </c>
      <c r="B96" s="59"/>
      <c r="C96" s="59"/>
      <c r="D96" s="60"/>
      <c r="E96" s="77"/>
      <c r="F96" s="69"/>
      <c r="G96" s="59"/>
      <c r="H96" s="58"/>
      <c r="I96" s="58"/>
      <c r="J96" s="58"/>
      <c r="K96" s="62"/>
      <c r="L96" s="62"/>
      <c r="M96" s="62"/>
      <c r="N96" s="70"/>
      <c r="O96" s="71"/>
      <c r="P96" s="64"/>
      <c r="Q96" s="72"/>
      <c r="S96" s="66"/>
      <c r="T96" s="66"/>
    </row>
    <row r="97" spans="1:20" ht="15.6">
      <c r="A97" s="57">
        <v>99</v>
      </c>
      <c r="B97" s="59"/>
      <c r="C97" s="59"/>
      <c r="D97" s="60"/>
      <c r="E97" s="77"/>
      <c r="F97" s="69"/>
      <c r="G97" s="59"/>
      <c r="H97" s="58"/>
      <c r="I97" s="58"/>
      <c r="J97" s="58"/>
      <c r="K97" s="62"/>
      <c r="L97" s="62"/>
      <c r="M97" s="62"/>
      <c r="N97" s="70"/>
      <c r="O97" s="71"/>
      <c r="P97" s="64"/>
      <c r="Q97" s="72"/>
      <c r="S97" s="66"/>
      <c r="T97" s="66"/>
    </row>
    <row r="98" spans="1:20" ht="15.6">
      <c r="A98" s="57">
        <v>100</v>
      </c>
      <c r="B98" s="59"/>
      <c r="C98" s="59"/>
      <c r="D98" s="60"/>
      <c r="E98" s="77"/>
      <c r="F98" s="69"/>
      <c r="G98" s="59"/>
      <c r="H98" s="58"/>
      <c r="I98" s="58"/>
      <c r="J98" s="58"/>
      <c r="K98" s="62"/>
      <c r="L98" s="62"/>
      <c r="M98" s="62"/>
      <c r="N98" s="70"/>
      <c r="O98" s="71"/>
      <c r="P98" s="64"/>
      <c r="Q98" s="72"/>
      <c r="S98" s="66"/>
      <c r="T98" s="66"/>
    </row>
    <row r="99" spans="1:20" ht="15.6">
      <c r="A99" s="57">
        <v>101</v>
      </c>
      <c r="B99" s="59"/>
      <c r="C99" s="59"/>
      <c r="D99" s="60"/>
      <c r="E99" s="77"/>
      <c r="F99" s="69"/>
      <c r="G99" s="59"/>
      <c r="H99" s="58"/>
      <c r="I99" s="58"/>
      <c r="J99" s="58"/>
      <c r="K99" s="62"/>
      <c r="L99" s="62"/>
      <c r="M99" s="62"/>
      <c r="N99" s="70"/>
      <c r="O99" s="71"/>
      <c r="P99" s="64"/>
      <c r="Q99" s="72"/>
      <c r="S99" s="66"/>
      <c r="T99" s="66"/>
    </row>
    <row r="100" spans="1:20" ht="15.6">
      <c r="A100" s="57">
        <v>102</v>
      </c>
      <c r="B100" s="59"/>
      <c r="C100" s="59"/>
      <c r="D100" s="60"/>
      <c r="E100" s="77"/>
      <c r="F100" s="69"/>
      <c r="G100" s="59"/>
      <c r="H100" s="58"/>
      <c r="I100" s="58"/>
      <c r="J100" s="58"/>
      <c r="K100" s="62"/>
      <c r="L100" s="62"/>
      <c r="M100" s="62"/>
      <c r="N100" s="70"/>
      <c r="O100" s="71"/>
      <c r="P100" s="64"/>
      <c r="Q100" s="72"/>
      <c r="S100" s="66"/>
      <c r="T100" s="66"/>
    </row>
    <row r="101" spans="1:20" ht="15.6">
      <c r="A101" s="57">
        <v>103</v>
      </c>
      <c r="B101" s="59"/>
      <c r="C101" s="59"/>
      <c r="D101" s="60"/>
      <c r="E101" s="77"/>
      <c r="F101" s="69"/>
      <c r="G101" s="59"/>
      <c r="H101" s="58"/>
      <c r="I101" s="58"/>
      <c r="J101" s="58"/>
      <c r="K101" s="62"/>
      <c r="L101" s="62"/>
      <c r="M101" s="62"/>
      <c r="N101" s="70"/>
      <c r="O101" s="71"/>
      <c r="P101" s="64"/>
      <c r="Q101" s="72"/>
      <c r="S101" s="66"/>
      <c r="T101" s="66"/>
    </row>
    <row r="102" spans="1:20" ht="15.6">
      <c r="A102" s="57">
        <v>104</v>
      </c>
      <c r="B102" s="59"/>
      <c r="C102" s="59"/>
      <c r="D102" s="60"/>
      <c r="E102" s="77"/>
      <c r="F102" s="69"/>
      <c r="G102" s="59"/>
      <c r="H102" s="58"/>
      <c r="I102" s="58"/>
      <c r="J102" s="58"/>
      <c r="K102" s="62"/>
      <c r="L102" s="62"/>
      <c r="M102" s="62"/>
      <c r="N102" s="70"/>
      <c r="O102" s="71"/>
      <c r="P102" s="64"/>
      <c r="Q102" s="72"/>
      <c r="S102" s="66"/>
      <c r="T102" s="66"/>
    </row>
    <row r="103" spans="1:20" ht="15.6">
      <c r="A103" s="57">
        <v>105</v>
      </c>
      <c r="B103" s="59"/>
      <c r="C103" s="59"/>
      <c r="D103" s="60"/>
      <c r="E103" s="77"/>
      <c r="F103" s="69"/>
      <c r="G103" s="59"/>
      <c r="H103" s="58"/>
      <c r="I103" s="58"/>
      <c r="J103" s="58"/>
      <c r="K103" s="62"/>
      <c r="L103" s="62"/>
      <c r="M103" s="62"/>
      <c r="N103" s="70"/>
      <c r="O103" s="71"/>
      <c r="P103" s="64"/>
      <c r="Q103" s="72"/>
      <c r="S103" s="66"/>
      <c r="T103" s="66"/>
    </row>
    <row r="104" spans="1:20" ht="15.6">
      <c r="A104" s="57">
        <v>106</v>
      </c>
      <c r="B104" s="59"/>
      <c r="C104" s="59"/>
      <c r="D104" s="60"/>
      <c r="E104" s="77"/>
      <c r="F104" s="69"/>
      <c r="G104" s="59"/>
      <c r="H104" s="58"/>
      <c r="I104" s="58"/>
      <c r="J104" s="58"/>
      <c r="K104" s="62"/>
      <c r="L104" s="62"/>
      <c r="M104" s="62"/>
      <c r="N104" s="70"/>
      <c r="O104" s="71"/>
      <c r="P104" s="64"/>
      <c r="Q104" s="72"/>
      <c r="S104" s="66"/>
      <c r="T104" s="66"/>
    </row>
    <row r="105" spans="1:20" ht="15.6">
      <c r="A105" s="57">
        <v>107</v>
      </c>
      <c r="B105" s="59"/>
      <c r="C105" s="59"/>
      <c r="D105" s="60"/>
      <c r="E105" s="77"/>
      <c r="F105" s="69"/>
      <c r="G105" s="59"/>
      <c r="H105" s="58"/>
      <c r="I105" s="58"/>
      <c r="J105" s="58"/>
      <c r="K105" s="62"/>
      <c r="L105" s="62"/>
      <c r="M105" s="62"/>
      <c r="N105" s="70"/>
      <c r="O105" s="71"/>
      <c r="P105" s="64"/>
      <c r="Q105" s="72"/>
      <c r="S105" s="66"/>
      <c r="T105" s="66"/>
    </row>
    <row r="106" spans="1:20" ht="15.6">
      <c r="A106" s="57">
        <v>108</v>
      </c>
      <c r="B106" s="59"/>
      <c r="C106" s="59"/>
      <c r="D106" s="60"/>
      <c r="E106" s="77"/>
      <c r="F106" s="69"/>
      <c r="G106" s="59"/>
      <c r="H106" s="58"/>
      <c r="I106" s="58"/>
      <c r="J106" s="58"/>
      <c r="K106" s="62"/>
      <c r="L106" s="62"/>
      <c r="M106" s="62"/>
      <c r="N106" s="70"/>
      <c r="O106" s="71"/>
      <c r="P106" s="64"/>
      <c r="Q106" s="72"/>
      <c r="S106" s="66"/>
      <c r="T106" s="66"/>
    </row>
    <row r="107" spans="1:20" ht="15.6">
      <c r="A107" s="57">
        <v>109</v>
      </c>
      <c r="B107" s="59"/>
      <c r="C107" s="59"/>
      <c r="D107" s="60"/>
      <c r="E107" s="77"/>
      <c r="F107" s="69"/>
      <c r="G107" s="59"/>
      <c r="H107" s="58"/>
      <c r="I107" s="58"/>
      <c r="J107" s="58"/>
      <c r="K107" s="62"/>
      <c r="L107" s="62"/>
      <c r="M107" s="62"/>
      <c r="N107" s="70"/>
      <c r="O107" s="71"/>
      <c r="P107" s="64"/>
      <c r="Q107" s="72"/>
      <c r="S107" s="66"/>
      <c r="T107" s="66"/>
    </row>
    <row r="108" spans="1:20" ht="15.6">
      <c r="A108" s="57">
        <v>110</v>
      </c>
      <c r="B108" s="59"/>
      <c r="C108" s="59"/>
      <c r="D108" s="60"/>
      <c r="E108" s="77"/>
      <c r="F108" s="69"/>
      <c r="G108" s="59"/>
      <c r="H108" s="58"/>
      <c r="I108" s="58"/>
      <c r="J108" s="58"/>
      <c r="K108" s="62"/>
      <c r="L108" s="62"/>
      <c r="M108" s="62"/>
      <c r="N108" s="70"/>
      <c r="O108" s="71"/>
      <c r="P108" s="64"/>
      <c r="Q108" s="72"/>
      <c r="S108" s="66"/>
      <c r="T108" s="66"/>
    </row>
    <row r="109" spans="1:20" ht="15.6">
      <c r="A109" s="57">
        <v>111</v>
      </c>
      <c r="B109" s="59"/>
      <c r="C109" s="59"/>
      <c r="D109" s="60"/>
      <c r="E109" s="77"/>
      <c r="F109" s="69"/>
      <c r="G109" s="59"/>
      <c r="H109" s="58"/>
      <c r="I109" s="58"/>
      <c r="J109" s="58"/>
      <c r="K109" s="62"/>
      <c r="L109" s="62"/>
      <c r="M109" s="62"/>
      <c r="N109" s="70"/>
      <c r="O109" s="71"/>
      <c r="P109" s="64"/>
      <c r="Q109" s="72"/>
      <c r="S109" s="66"/>
      <c r="T109" s="66"/>
    </row>
    <row r="110" spans="1:20" ht="15.6">
      <c r="A110" s="57">
        <v>112</v>
      </c>
      <c r="B110" s="59"/>
      <c r="C110" s="59"/>
      <c r="D110" s="60"/>
      <c r="E110" s="77"/>
      <c r="F110" s="69"/>
      <c r="G110" s="59"/>
      <c r="H110" s="58"/>
      <c r="I110" s="58"/>
      <c r="J110" s="58"/>
      <c r="K110" s="62"/>
      <c r="L110" s="62"/>
      <c r="M110" s="62"/>
      <c r="N110" s="70"/>
      <c r="O110" s="71"/>
      <c r="P110" s="64"/>
      <c r="Q110" s="72"/>
      <c r="S110" s="66"/>
      <c r="T110" s="66"/>
    </row>
    <row r="111" spans="1:20" ht="15.6">
      <c r="A111" s="57">
        <v>113</v>
      </c>
      <c r="B111" s="59"/>
      <c r="C111" s="59"/>
      <c r="D111" s="60"/>
      <c r="E111" s="77"/>
      <c r="F111" s="69"/>
      <c r="G111" s="59"/>
      <c r="H111" s="58"/>
      <c r="I111" s="58"/>
      <c r="J111" s="58"/>
      <c r="K111" s="62"/>
      <c r="L111" s="62"/>
      <c r="M111" s="62"/>
      <c r="N111" s="70"/>
      <c r="O111" s="71"/>
      <c r="P111" s="64"/>
      <c r="Q111" s="72"/>
      <c r="S111" s="66"/>
      <c r="T111" s="66"/>
    </row>
    <row r="112" spans="1:20" ht="15.6">
      <c r="A112" s="57">
        <v>114</v>
      </c>
      <c r="B112" s="59"/>
      <c r="C112" s="59"/>
      <c r="D112" s="60"/>
      <c r="E112" s="77"/>
      <c r="F112" s="69"/>
      <c r="G112" s="59"/>
      <c r="H112" s="58"/>
      <c r="I112" s="58"/>
      <c r="J112" s="58"/>
      <c r="K112" s="62"/>
      <c r="L112" s="62"/>
      <c r="M112" s="62"/>
      <c r="N112" s="70"/>
      <c r="O112" s="71"/>
      <c r="P112" s="64"/>
      <c r="Q112" s="72"/>
      <c r="S112" s="66"/>
      <c r="T112" s="66"/>
    </row>
    <row r="113" spans="1:20" ht="15.6">
      <c r="A113" s="57">
        <v>115</v>
      </c>
      <c r="B113" s="59"/>
      <c r="C113" s="59"/>
      <c r="D113" s="60"/>
      <c r="E113" s="77"/>
      <c r="F113" s="69"/>
      <c r="G113" s="59"/>
      <c r="H113" s="58"/>
      <c r="I113" s="58"/>
      <c r="J113" s="58"/>
      <c r="K113" s="62"/>
      <c r="L113" s="62"/>
      <c r="M113" s="62"/>
      <c r="N113" s="70"/>
      <c r="O113" s="71"/>
      <c r="P113" s="64"/>
      <c r="Q113" s="72"/>
      <c r="S113" s="66"/>
      <c r="T113" s="66"/>
    </row>
    <row r="114" spans="1:20" ht="15.6">
      <c r="A114" s="57">
        <v>116</v>
      </c>
      <c r="B114" s="59"/>
      <c r="C114" s="59"/>
      <c r="D114" s="60"/>
      <c r="E114" s="77"/>
      <c r="F114" s="69"/>
      <c r="G114" s="59"/>
      <c r="H114" s="58"/>
      <c r="I114" s="58"/>
      <c r="J114" s="58"/>
      <c r="K114" s="62"/>
      <c r="L114" s="62"/>
      <c r="M114" s="62"/>
      <c r="N114" s="70"/>
      <c r="O114" s="71"/>
      <c r="P114" s="64"/>
      <c r="Q114" s="72"/>
      <c r="S114" s="66"/>
      <c r="T114" s="66"/>
    </row>
    <row r="115" spans="1:20" ht="15.6">
      <c r="A115" s="57">
        <v>117</v>
      </c>
      <c r="B115" s="59"/>
      <c r="C115" s="59"/>
      <c r="D115" s="60"/>
      <c r="E115" s="77"/>
      <c r="F115" s="69"/>
      <c r="G115" s="59"/>
      <c r="H115" s="58"/>
      <c r="I115" s="58"/>
      <c r="J115" s="58"/>
      <c r="K115" s="62"/>
      <c r="L115" s="62"/>
      <c r="M115" s="62"/>
      <c r="N115" s="70"/>
      <c r="O115" s="71"/>
      <c r="P115" s="64"/>
      <c r="Q115" s="72"/>
      <c r="S115" s="66"/>
      <c r="T115" s="66"/>
    </row>
    <row r="116" spans="1:20" ht="15.6">
      <c r="A116" s="57">
        <v>118</v>
      </c>
      <c r="B116" s="59"/>
      <c r="C116" s="59"/>
      <c r="D116" s="60"/>
      <c r="E116" s="77"/>
      <c r="F116" s="69"/>
      <c r="G116" s="59"/>
      <c r="H116" s="58"/>
      <c r="I116" s="58"/>
      <c r="J116" s="58"/>
      <c r="K116" s="62"/>
      <c r="L116" s="62"/>
      <c r="M116" s="62"/>
      <c r="N116" s="70"/>
      <c r="O116" s="71"/>
      <c r="P116" s="64"/>
      <c r="Q116" s="72"/>
      <c r="S116" s="66"/>
      <c r="T116" s="66"/>
    </row>
    <row r="117" spans="1:20" ht="15.6">
      <c r="A117" s="57">
        <v>119</v>
      </c>
      <c r="B117" s="59"/>
      <c r="C117" s="59"/>
      <c r="D117" s="60"/>
      <c r="E117" s="77"/>
      <c r="F117" s="69"/>
      <c r="G117" s="59"/>
      <c r="H117" s="58"/>
      <c r="I117" s="58"/>
      <c r="J117" s="58"/>
      <c r="K117" s="62"/>
      <c r="L117" s="62"/>
      <c r="M117" s="62"/>
      <c r="N117" s="70"/>
      <c r="O117" s="71"/>
      <c r="P117" s="64"/>
      <c r="Q117" s="72"/>
      <c r="S117" s="66"/>
      <c r="T117" s="66"/>
    </row>
    <row r="118" spans="1:20" ht="15.6">
      <c r="A118" s="57">
        <v>120</v>
      </c>
      <c r="B118" s="59"/>
      <c r="C118" s="59"/>
      <c r="D118" s="60"/>
      <c r="E118" s="77"/>
      <c r="F118" s="69"/>
      <c r="G118" s="59"/>
      <c r="H118" s="58"/>
      <c r="I118" s="58"/>
      <c r="J118" s="58"/>
      <c r="K118" s="62"/>
      <c r="L118" s="62"/>
      <c r="M118" s="62"/>
      <c r="N118" s="70"/>
      <c r="O118" s="71"/>
      <c r="P118" s="64"/>
      <c r="Q118" s="72"/>
      <c r="S118" s="66"/>
      <c r="T118" s="66"/>
    </row>
    <row r="119" spans="1:20" ht="15.6">
      <c r="A119" s="57">
        <v>121</v>
      </c>
      <c r="B119" s="59"/>
      <c r="C119" s="59"/>
      <c r="D119" s="60"/>
      <c r="E119" s="77"/>
      <c r="F119" s="69"/>
      <c r="G119" s="59"/>
      <c r="H119" s="58"/>
      <c r="I119" s="58"/>
      <c r="J119" s="58"/>
      <c r="K119" s="62"/>
      <c r="L119" s="62"/>
      <c r="M119" s="62"/>
      <c r="N119" s="70"/>
      <c r="O119" s="71"/>
      <c r="P119" s="64"/>
      <c r="Q119" s="72"/>
      <c r="S119" s="66"/>
      <c r="T119" s="66"/>
    </row>
    <row r="120" spans="1:20" ht="15.6">
      <c r="A120" s="57">
        <v>122</v>
      </c>
      <c r="B120" s="59"/>
      <c r="C120" s="59"/>
      <c r="D120" s="60"/>
      <c r="E120" s="77"/>
      <c r="F120" s="69"/>
      <c r="G120" s="59"/>
      <c r="H120" s="58"/>
      <c r="I120" s="58"/>
      <c r="J120" s="58"/>
      <c r="K120" s="62"/>
      <c r="L120" s="62"/>
      <c r="M120" s="62"/>
      <c r="N120" s="70"/>
      <c r="O120" s="71"/>
      <c r="P120" s="64"/>
      <c r="Q120" s="72"/>
      <c r="S120" s="66"/>
      <c r="T120" s="66"/>
    </row>
    <row r="121" spans="1:20" ht="15.6">
      <c r="A121" s="57">
        <v>123</v>
      </c>
      <c r="B121" s="59"/>
      <c r="C121" s="59"/>
      <c r="D121" s="60"/>
      <c r="E121" s="77"/>
      <c r="F121" s="69"/>
      <c r="G121" s="59"/>
      <c r="H121" s="58"/>
      <c r="I121" s="58"/>
      <c r="J121" s="58"/>
      <c r="K121" s="62"/>
      <c r="L121" s="62"/>
      <c r="M121" s="62"/>
      <c r="N121" s="70"/>
      <c r="O121" s="71"/>
      <c r="P121" s="64"/>
      <c r="Q121" s="72"/>
      <c r="S121" s="66"/>
      <c r="T121" s="66"/>
    </row>
    <row r="122" spans="1:20" ht="15.6">
      <c r="A122" s="57">
        <v>124</v>
      </c>
      <c r="B122" s="59"/>
      <c r="C122" s="59"/>
      <c r="D122" s="60"/>
      <c r="E122" s="77"/>
      <c r="F122" s="69"/>
      <c r="G122" s="59"/>
      <c r="H122" s="58"/>
      <c r="I122" s="58"/>
      <c r="J122" s="58"/>
      <c r="K122" s="62"/>
      <c r="L122" s="62"/>
      <c r="M122" s="62"/>
      <c r="N122" s="70"/>
      <c r="O122" s="71"/>
      <c r="P122" s="64"/>
      <c r="Q122" s="72"/>
      <c r="S122" s="66"/>
      <c r="T122" s="66"/>
    </row>
    <row r="123" spans="1:20" ht="15.6">
      <c r="A123" s="57">
        <v>125</v>
      </c>
      <c r="B123" s="59"/>
      <c r="C123" s="59"/>
      <c r="D123" s="60"/>
      <c r="E123" s="77"/>
      <c r="F123" s="69"/>
      <c r="G123" s="59"/>
      <c r="H123" s="58"/>
      <c r="I123" s="58"/>
      <c r="J123" s="58"/>
      <c r="K123" s="62"/>
      <c r="L123" s="62"/>
      <c r="M123" s="62"/>
      <c r="N123" s="70"/>
      <c r="O123" s="71"/>
      <c r="P123" s="64"/>
      <c r="Q123" s="72"/>
      <c r="S123" s="66"/>
      <c r="T123" s="66"/>
    </row>
    <row r="124" spans="1:20" ht="15.6">
      <c r="A124" s="57">
        <v>126</v>
      </c>
      <c r="B124" s="59"/>
      <c r="C124" s="59"/>
      <c r="D124" s="60"/>
      <c r="E124" s="77"/>
      <c r="F124" s="69"/>
      <c r="G124" s="59"/>
      <c r="H124" s="58"/>
      <c r="I124" s="58"/>
      <c r="J124" s="58"/>
      <c r="K124" s="62"/>
      <c r="L124" s="62"/>
      <c r="M124" s="62"/>
      <c r="N124" s="70"/>
      <c r="O124" s="71"/>
      <c r="P124" s="64"/>
      <c r="Q124" s="72"/>
      <c r="S124" s="66"/>
      <c r="T124" s="66"/>
    </row>
    <row r="125" spans="1:20" ht="15.6">
      <c r="A125" s="57">
        <v>127</v>
      </c>
      <c r="B125" s="59"/>
      <c r="C125" s="59"/>
      <c r="D125" s="60"/>
      <c r="E125" s="77"/>
      <c r="F125" s="69"/>
      <c r="G125" s="59"/>
      <c r="H125" s="58"/>
      <c r="I125" s="58"/>
      <c r="J125" s="58"/>
      <c r="K125" s="62"/>
      <c r="L125" s="62"/>
      <c r="M125" s="62"/>
      <c r="N125" s="70"/>
      <c r="O125" s="71"/>
      <c r="P125" s="64"/>
      <c r="Q125" s="72"/>
      <c r="S125" s="66"/>
      <c r="T125" s="66"/>
    </row>
    <row r="126" spans="1:20" ht="15.6">
      <c r="A126" s="57">
        <v>128</v>
      </c>
      <c r="B126" s="59"/>
      <c r="C126" s="59"/>
      <c r="D126" s="60"/>
      <c r="E126" s="77"/>
      <c r="F126" s="69"/>
      <c r="G126" s="59"/>
      <c r="H126" s="58"/>
      <c r="I126" s="58"/>
      <c r="J126" s="58"/>
      <c r="K126" s="62"/>
      <c r="L126" s="62"/>
      <c r="M126" s="62"/>
      <c r="N126" s="70"/>
      <c r="O126" s="71"/>
      <c r="P126" s="64"/>
      <c r="Q126" s="72"/>
      <c r="S126" s="66"/>
      <c r="T126" s="66"/>
    </row>
    <row r="127" spans="1:20" ht="15.6">
      <c r="A127" s="57">
        <v>129</v>
      </c>
      <c r="B127" s="59"/>
      <c r="C127" s="59"/>
      <c r="D127" s="60"/>
      <c r="E127" s="77"/>
      <c r="F127" s="69"/>
      <c r="G127" s="59"/>
      <c r="H127" s="58"/>
      <c r="I127" s="58"/>
      <c r="J127" s="58"/>
      <c r="K127" s="62"/>
      <c r="L127" s="62"/>
      <c r="M127" s="62"/>
      <c r="N127" s="70"/>
      <c r="O127" s="71"/>
      <c r="P127" s="64"/>
      <c r="Q127" s="72"/>
      <c r="S127" s="66"/>
      <c r="T127" s="66"/>
    </row>
    <row r="128" spans="1:20" ht="15.6">
      <c r="A128" s="57">
        <v>130</v>
      </c>
      <c r="B128" s="59"/>
      <c r="C128" s="59"/>
      <c r="D128" s="60"/>
      <c r="E128" s="77"/>
      <c r="F128" s="69"/>
      <c r="G128" s="59"/>
      <c r="H128" s="58"/>
      <c r="I128" s="58"/>
      <c r="J128" s="58"/>
      <c r="K128" s="62"/>
      <c r="L128" s="62"/>
      <c r="M128" s="62"/>
      <c r="N128" s="70"/>
      <c r="O128" s="71"/>
      <c r="P128" s="64"/>
      <c r="Q128" s="72"/>
      <c r="S128" s="66"/>
      <c r="T128" s="66"/>
    </row>
    <row r="129" spans="1:20" ht="15.6">
      <c r="A129" s="57">
        <v>131</v>
      </c>
      <c r="B129" s="59"/>
      <c r="C129" s="59"/>
      <c r="D129" s="60"/>
      <c r="E129" s="77"/>
      <c r="F129" s="69"/>
      <c r="G129" s="59"/>
      <c r="H129" s="58"/>
      <c r="I129" s="58"/>
      <c r="J129" s="58"/>
      <c r="K129" s="62"/>
      <c r="L129" s="62"/>
      <c r="M129" s="62"/>
      <c r="N129" s="70"/>
      <c r="O129" s="71"/>
      <c r="P129" s="64"/>
      <c r="Q129" s="72"/>
      <c r="S129" s="66"/>
      <c r="T129" s="66"/>
    </row>
    <row r="130" spans="1:20" ht="15.6">
      <c r="A130" s="57">
        <v>132</v>
      </c>
      <c r="B130" s="59"/>
      <c r="C130" s="59"/>
      <c r="D130" s="60"/>
      <c r="E130" s="77"/>
      <c r="F130" s="69"/>
      <c r="G130" s="59"/>
      <c r="H130" s="58"/>
      <c r="I130" s="58"/>
      <c r="J130" s="58"/>
      <c r="K130" s="62"/>
      <c r="L130" s="62"/>
      <c r="M130" s="62"/>
      <c r="N130" s="70"/>
      <c r="O130" s="71"/>
      <c r="P130" s="64"/>
      <c r="Q130" s="72"/>
      <c r="S130" s="66"/>
      <c r="T130" s="66"/>
    </row>
    <row r="131" spans="1:20" ht="15.6">
      <c r="A131" s="57">
        <v>133</v>
      </c>
      <c r="B131" s="59"/>
      <c r="C131" s="59"/>
      <c r="D131" s="60"/>
      <c r="E131" s="77"/>
      <c r="F131" s="69"/>
      <c r="G131" s="59"/>
      <c r="H131" s="58"/>
      <c r="I131" s="58"/>
      <c r="J131" s="58"/>
      <c r="K131" s="62"/>
      <c r="L131" s="62"/>
      <c r="M131" s="62"/>
      <c r="N131" s="70"/>
      <c r="O131" s="71"/>
      <c r="P131" s="64"/>
      <c r="Q131" s="72"/>
      <c r="S131" s="66"/>
      <c r="T131" s="66"/>
    </row>
    <row r="132" spans="1:20" ht="15.6">
      <c r="A132" s="57">
        <v>134</v>
      </c>
      <c r="B132" s="59"/>
      <c r="C132" s="59"/>
      <c r="D132" s="60"/>
      <c r="E132" s="77"/>
      <c r="F132" s="69"/>
      <c r="G132" s="59"/>
      <c r="H132" s="58"/>
      <c r="I132" s="58"/>
      <c r="J132" s="58"/>
      <c r="K132" s="62"/>
      <c r="L132" s="62"/>
      <c r="M132" s="62"/>
      <c r="N132" s="70"/>
      <c r="O132" s="71"/>
      <c r="P132" s="64"/>
      <c r="Q132" s="72"/>
      <c r="S132" s="66"/>
      <c r="T132" s="66"/>
    </row>
    <row r="133" spans="1:20" ht="15.6">
      <c r="A133" s="57">
        <v>135</v>
      </c>
      <c r="B133" s="59"/>
      <c r="C133" s="59"/>
      <c r="D133" s="60"/>
      <c r="E133" s="77"/>
      <c r="F133" s="69"/>
      <c r="G133" s="59"/>
      <c r="H133" s="58"/>
      <c r="I133" s="58"/>
      <c r="J133" s="58"/>
      <c r="K133" s="62"/>
      <c r="L133" s="62"/>
      <c r="M133" s="62"/>
      <c r="N133" s="70"/>
      <c r="O133" s="71"/>
      <c r="P133" s="64"/>
      <c r="Q133" s="72"/>
      <c r="S133" s="66"/>
      <c r="T133" s="66"/>
    </row>
    <row r="134" spans="1:20" ht="15.6">
      <c r="A134" s="57">
        <v>136</v>
      </c>
      <c r="B134" s="59"/>
      <c r="C134" s="59"/>
      <c r="D134" s="60"/>
      <c r="E134" s="77"/>
      <c r="F134" s="69"/>
      <c r="G134" s="59"/>
      <c r="H134" s="58"/>
      <c r="I134" s="58"/>
      <c r="J134" s="58"/>
      <c r="K134" s="62"/>
      <c r="L134" s="62"/>
      <c r="M134" s="62"/>
      <c r="N134" s="70"/>
      <c r="O134" s="71"/>
      <c r="P134" s="64"/>
      <c r="Q134" s="72"/>
      <c r="S134" s="66"/>
      <c r="T134" s="66"/>
    </row>
    <row r="135" spans="1:20" ht="15.6">
      <c r="A135" s="57">
        <v>137</v>
      </c>
      <c r="B135" s="59"/>
      <c r="C135" s="59"/>
      <c r="D135" s="60"/>
      <c r="E135" s="77"/>
      <c r="F135" s="69"/>
      <c r="G135" s="59"/>
      <c r="H135" s="58"/>
      <c r="I135" s="58"/>
      <c r="J135" s="58"/>
      <c r="K135" s="62"/>
      <c r="L135" s="62"/>
      <c r="M135" s="62"/>
      <c r="N135" s="70"/>
      <c r="O135" s="71"/>
      <c r="P135" s="64"/>
      <c r="Q135" s="72"/>
      <c r="S135" s="66"/>
      <c r="T135" s="66"/>
    </row>
    <row r="136" spans="1:20" ht="15.6">
      <c r="A136" s="57">
        <v>138</v>
      </c>
      <c r="B136" s="59"/>
      <c r="C136" s="59"/>
      <c r="D136" s="60"/>
      <c r="E136" s="77"/>
      <c r="F136" s="69"/>
      <c r="G136" s="59"/>
      <c r="H136" s="58"/>
      <c r="I136" s="58"/>
      <c r="J136" s="58"/>
      <c r="K136" s="62"/>
      <c r="L136" s="62"/>
      <c r="M136" s="62"/>
      <c r="N136" s="70"/>
      <c r="O136" s="71"/>
      <c r="P136" s="64"/>
      <c r="Q136" s="72"/>
      <c r="S136" s="66"/>
      <c r="T136" s="66"/>
    </row>
    <row r="137" spans="1:20" ht="15.6">
      <c r="A137" s="57">
        <v>139</v>
      </c>
      <c r="B137" s="59"/>
      <c r="C137" s="59"/>
      <c r="D137" s="60"/>
      <c r="E137" s="77"/>
      <c r="F137" s="69"/>
      <c r="G137" s="59"/>
      <c r="H137" s="58"/>
      <c r="I137" s="58"/>
      <c r="J137" s="58"/>
      <c r="K137" s="62"/>
      <c r="L137" s="62"/>
      <c r="M137" s="62"/>
      <c r="N137" s="70"/>
      <c r="O137" s="71"/>
      <c r="P137" s="64"/>
      <c r="Q137" s="72"/>
      <c r="S137" s="66"/>
      <c r="T137" s="66"/>
    </row>
    <row r="138" spans="1:20" ht="15.6">
      <c r="A138" s="57">
        <v>140</v>
      </c>
      <c r="B138" s="59"/>
      <c r="C138" s="59"/>
      <c r="D138" s="60"/>
      <c r="E138" s="77"/>
      <c r="F138" s="69"/>
      <c r="G138" s="59"/>
      <c r="H138" s="58"/>
      <c r="I138" s="58"/>
      <c r="J138" s="58"/>
      <c r="K138" s="62"/>
      <c r="L138" s="62"/>
      <c r="M138" s="62"/>
      <c r="N138" s="70"/>
      <c r="O138" s="71"/>
      <c r="P138" s="64"/>
      <c r="Q138" s="72"/>
      <c r="S138" s="66"/>
      <c r="T138" s="66"/>
    </row>
    <row r="139" spans="1:20" ht="15.6">
      <c r="A139" s="57">
        <v>141</v>
      </c>
      <c r="B139" s="59"/>
      <c r="C139" s="59"/>
      <c r="D139" s="60"/>
      <c r="E139" s="77"/>
      <c r="F139" s="69"/>
      <c r="G139" s="59"/>
      <c r="H139" s="58"/>
      <c r="I139" s="58"/>
      <c r="J139" s="58"/>
      <c r="K139" s="62"/>
      <c r="L139" s="62"/>
      <c r="M139" s="62"/>
      <c r="N139" s="70"/>
      <c r="O139" s="71"/>
      <c r="P139" s="64"/>
      <c r="Q139" s="72"/>
      <c r="S139" s="66"/>
      <c r="T139" s="66"/>
    </row>
    <row r="140" spans="1:20" ht="15.6">
      <c r="A140" s="57">
        <v>142</v>
      </c>
      <c r="B140" s="59"/>
      <c r="C140" s="59"/>
      <c r="D140" s="60"/>
      <c r="E140" s="77"/>
      <c r="F140" s="69"/>
      <c r="G140" s="59"/>
      <c r="H140" s="58"/>
      <c r="I140" s="58"/>
      <c r="J140" s="58"/>
      <c r="K140" s="62"/>
      <c r="L140" s="62"/>
      <c r="M140" s="62"/>
      <c r="N140" s="70"/>
      <c r="O140" s="71"/>
      <c r="P140" s="64"/>
      <c r="Q140" s="72"/>
      <c r="S140" s="66"/>
      <c r="T140" s="66"/>
    </row>
    <row r="141" spans="1:20" ht="15.6">
      <c r="A141" s="57">
        <v>143</v>
      </c>
      <c r="B141" s="59"/>
      <c r="C141" s="59"/>
      <c r="D141" s="60"/>
      <c r="E141" s="77"/>
      <c r="F141" s="69"/>
      <c r="G141" s="59"/>
      <c r="H141" s="58"/>
      <c r="I141" s="58"/>
      <c r="J141" s="58"/>
      <c r="K141" s="62"/>
      <c r="L141" s="62"/>
      <c r="M141" s="62"/>
      <c r="N141" s="70"/>
      <c r="O141" s="71"/>
      <c r="P141" s="64"/>
      <c r="Q141" s="72"/>
      <c r="S141" s="66"/>
      <c r="T141" s="66"/>
    </row>
    <row r="142" spans="1:20" ht="15.6">
      <c r="A142" s="57">
        <v>144</v>
      </c>
      <c r="B142" s="59"/>
      <c r="C142" s="59"/>
      <c r="D142" s="60"/>
      <c r="E142" s="77"/>
      <c r="F142" s="69"/>
      <c r="G142" s="59"/>
      <c r="H142" s="58"/>
      <c r="I142" s="58"/>
      <c r="J142" s="58"/>
      <c r="K142" s="62"/>
      <c r="L142" s="62"/>
      <c r="M142" s="62"/>
      <c r="N142" s="70"/>
      <c r="O142" s="71"/>
      <c r="P142" s="64"/>
      <c r="Q142" s="72"/>
      <c r="S142" s="66"/>
      <c r="T142" s="66"/>
    </row>
    <row r="143" spans="1:20" ht="15.6">
      <c r="A143" s="57">
        <v>145</v>
      </c>
      <c r="B143" s="59"/>
      <c r="C143" s="59"/>
      <c r="D143" s="60"/>
      <c r="E143" s="77"/>
      <c r="F143" s="69"/>
      <c r="G143" s="59"/>
      <c r="H143" s="58"/>
      <c r="I143" s="58"/>
      <c r="J143" s="58"/>
      <c r="K143" s="62"/>
      <c r="L143" s="62"/>
      <c r="M143" s="62"/>
      <c r="N143" s="70"/>
      <c r="O143" s="71"/>
      <c r="P143" s="64"/>
      <c r="Q143" s="72"/>
      <c r="S143" s="66"/>
      <c r="T143" s="66"/>
    </row>
    <row r="144" spans="1:20" ht="15.6">
      <c r="A144" s="57">
        <v>146</v>
      </c>
      <c r="B144" s="59"/>
      <c r="C144" s="59"/>
      <c r="D144" s="60"/>
      <c r="E144" s="77"/>
      <c r="F144" s="69"/>
      <c r="G144" s="59"/>
      <c r="H144" s="58"/>
      <c r="I144" s="58"/>
      <c r="J144" s="58"/>
      <c r="K144" s="62"/>
      <c r="L144" s="62"/>
      <c r="M144" s="62"/>
      <c r="N144" s="70"/>
      <c r="O144" s="71"/>
      <c r="P144" s="64"/>
      <c r="Q144" s="72"/>
      <c r="S144" s="66"/>
      <c r="T144" s="66"/>
    </row>
    <row r="145" spans="1:20" ht="15.6">
      <c r="A145" s="57">
        <v>147</v>
      </c>
      <c r="B145" s="59"/>
      <c r="C145" s="59"/>
      <c r="D145" s="60"/>
      <c r="E145" s="77"/>
      <c r="F145" s="69"/>
      <c r="G145" s="59"/>
      <c r="H145" s="58"/>
      <c r="I145" s="58"/>
      <c r="J145" s="58"/>
      <c r="K145" s="62"/>
      <c r="L145" s="62"/>
      <c r="M145" s="62"/>
      <c r="N145" s="70"/>
      <c r="O145" s="71"/>
      <c r="P145" s="64"/>
      <c r="Q145" s="72"/>
      <c r="S145" s="66"/>
      <c r="T145" s="66"/>
    </row>
    <row r="146" spans="1:20" ht="15.6">
      <c r="A146" s="57">
        <v>148</v>
      </c>
      <c r="B146" s="59"/>
      <c r="C146" s="59"/>
      <c r="D146" s="60"/>
      <c r="E146" s="77"/>
      <c r="F146" s="69"/>
      <c r="G146" s="59"/>
      <c r="H146" s="58"/>
      <c r="I146" s="58"/>
      <c r="J146" s="58"/>
      <c r="K146" s="62"/>
      <c r="L146" s="62"/>
      <c r="M146" s="62"/>
      <c r="N146" s="70"/>
      <c r="O146" s="71"/>
      <c r="P146" s="64"/>
      <c r="Q146" s="72"/>
      <c r="S146" s="66"/>
      <c r="T146" s="66"/>
    </row>
    <row r="147" spans="1:20" ht="15.6">
      <c r="A147" s="57">
        <v>149</v>
      </c>
      <c r="B147" s="59"/>
      <c r="C147" s="59"/>
      <c r="D147" s="60"/>
      <c r="E147" s="77"/>
      <c r="F147" s="69"/>
      <c r="G147" s="59"/>
      <c r="H147" s="58"/>
      <c r="I147" s="58"/>
      <c r="J147" s="58"/>
      <c r="K147" s="62"/>
      <c r="L147" s="62"/>
      <c r="M147" s="62"/>
      <c r="N147" s="70"/>
      <c r="O147" s="71"/>
      <c r="P147" s="64"/>
      <c r="Q147" s="72"/>
      <c r="S147" s="66"/>
      <c r="T147" s="66"/>
    </row>
    <row r="148" spans="1:20" ht="15.6">
      <c r="A148" s="57">
        <v>150</v>
      </c>
      <c r="B148" s="59"/>
      <c r="C148" s="59"/>
      <c r="D148" s="60"/>
      <c r="E148" s="77"/>
      <c r="F148" s="69"/>
      <c r="G148" s="59"/>
      <c r="H148" s="58"/>
      <c r="I148" s="58"/>
      <c r="J148" s="58"/>
      <c r="K148" s="62"/>
      <c r="L148" s="62"/>
      <c r="M148" s="62"/>
      <c r="N148" s="70"/>
      <c r="O148" s="71"/>
      <c r="P148" s="64"/>
      <c r="Q148" s="72"/>
      <c r="S148" s="66"/>
      <c r="T148" s="66"/>
    </row>
    <row r="149" spans="1:20" ht="15.6">
      <c r="A149" s="57">
        <v>151</v>
      </c>
      <c r="B149" s="59"/>
      <c r="C149" s="59"/>
      <c r="D149" s="60"/>
      <c r="E149" s="77"/>
      <c r="F149" s="69"/>
      <c r="G149" s="59"/>
      <c r="H149" s="58"/>
      <c r="I149" s="58"/>
      <c r="J149" s="58"/>
      <c r="K149" s="62"/>
      <c r="L149" s="62"/>
      <c r="M149" s="62"/>
      <c r="N149" s="70"/>
      <c r="O149" s="71"/>
      <c r="P149" s="64"/>
      <c r="Q149" s="72"/>
      <c r="S149" s="66"/>
      <c r="T149" s="66"/>
    </row>
    <row r="150" spans="1:20" ht="15.6">
      <c r="A150" s="57">
        <v>152</v>
      </c>
      <c r="B150" s="59"/>
      <c r="C150" s="59"/>
      <c r="D150" s="60"/>
      <c r="E150" s="77"/>
      <c r="F150" s="69"/>
      <c r="G150" s="59"/>
      <c r="H150" s="58"/>
      <c r="I150" s="58"/>
      <c r="J150" s="58"/>
      <c r="K150" s="62"/>
      <c r="L150" s="62"/>
      <c r="M150" s="62"/>
      <c r="N150" s="70"/>
      <c r="O150" s="71"/>
      <c r="P150" s="64"/>
      <c r="Q150" s="72"/>
      <c r="S150" s="66"/>
      <c r="T150" s="66"/>
    </row>
    <row r="151" spans="1:20" ht="15.6">
      <c r="A151" s="57">
        <v>153</v>
      </c>
      <c r="B151" s="59"/>
      <c r="C151" s="59"/>
      <c r="D151" s="60"/>
      <c r="E151" s="77"/>
      <c r="F151" s="69"/>
      <c r="G151" s="59"/>
      <c r="H151" s="58"/>
      <c r="I151" s="58"/>
      <c r="J151" s="58"/>
      <c r="K151" s="62"/>
      <c r="L151" s="62"/>
      <c r="M151" s="62"/>
      <c r="N151" s="70"/>
      <c r="O151" s="71"/>
      <c r="P151" s="64"/>
      <c r="Q151" s="72"/>
      <c r="S151" s="66"/>
      <c r="T151" s="66"/>
    </row>
    <row r="152" spans="1:20" ht="15.6">
      <c r="A152" s="57">
        <v>154</v>
      </c>
      <c r="B152" s="59"/>
      <c r="C152" s="59"/>
      <c r="D152" s="60"/>
      <c r="E152" s="77"/>
      <c r="F152" s="69"/>
      <c r="G152" s="59"/>
      <c r="H152" s="58"/>
      <c r="I152" s="58"/>
      <c r="J152" s="58"/>
      <c r="K152" s="62"/>
      <c r="L152" s="62"/>
      <c r="M152" s="62"/>
      <c r="N152" s="70"/>
      <c r="O152" s="71"/>
      <c r="P152" s="64"/>
      <c r="Q152" s="72"/>
      <c r="S152" s="66"/>
      <c r="T152" s="66"/>
    </row>
    <row r="153" spans="1:20" ht="15.6">
      <c r="A153" s="57">
        <v>155</v>
      </c>
      <c r="B153" s="59"/>
      <c r="C153" s="59"/>
      <c r="D153" s="60"/>
      <c r="E153" s="77"/>
      <c r="F153" s="69"/>
      <c r="G153" s="59"/>
      <c r="H153" s="58"/>
      <c r="I153" s="58"/>
      <c r="J153" s="58"/>
      <c r="K153" s="62"/>
      <c r="L153" s="62"/>
      <c r="M153" s="62"/>
      <c r="N153" s="70"/>
      <c r="O153" s="71"/>
      <c r="P153" s="64"/>
      <c r="Q153" s="72"/>
      <c r="S153" s="66"/>
      <c r="T153" s="66"/>
    </row>
    <row r="154" spans="1:20" ht="15.6">
      <c r="A154" s="57">
        <v>156</v>
      </c>
      <c r="B154" s="59"/>
      <c r="C154" s="59"/>
      <c r="D154" s="60"/>
      <c r="E154" s="77"/>
      <c r="F154" s="69"/>
      <c r="G154" s="59"/>
      <c r="H154" s="58"/>
      <c r="I154" s="58"/>
      <c r="J154" s="58"/>
      <c r="K154" s="62"/>
      <c r="L154" s="62"/>
      <c r="M154" s="62"/>
      <c r="N154" s="70"/>
      <c r="O154" s="71"/>
      <c r="P154" s="64"/>
      <c r="Q154" s="72"/>
      <c r="S154" s="66"/>
      <c r="T154" s="66"/>
    </row>
    <row r="155" spans="1:20" ht="15.6">
      <c r="A155" s="57">
        <v>157</v>
      </c>
      <c r="B155" s="59"/>
      <c r="C155" s="59"/>
      <c r="D155" s="60"/>
      <c r="E155" s="77"/>
      <c r="F155" s="69"/>
      <c r="G155" s="59"/>
      <c r="H155" s="58"/>
      <c r="I155" s="58"/>
      <c r="J155" s="58"/>
      <c r="K155" s="62"/>
      <c r="L155" s="62"/>
      <c r="M155" s="62"/>
      <c r="N155" s="70"/>
      <c r="O155" s="71"/>
      <c r="P155" s="64"/>
      <c r="Q155" s="72"/>
      <c r="S155" s="66"/>
      <c r="T155" s="66"/>
    </row>
    <row r="156" spans="1:20" ht="15.6">
      <c r="A156" s="57">
        <v>158</v>
      </c>
      <c r="B156" s="59"/>
      <c r="C156" s="59"/>
      <c r="D156" s="60"/>
      <c r="E156" s="77"/>
      <c r="F156" s="69"/>
      <c r="G156" s="59"/>
      <c r="H156" s="58"/>
      <c r="I156" s="58"/>
      <c r="J156" s="58"/>
      <c r="K156" s="62"/>
      <c r="L156" s="62"/>
      <c r="M156" s="62"/>
      <c r="N156" s="70"/>
      <c r="O156" s="71"/>
      <c r="P156" s="64"/>
      <c r="Q156" s="72"/>
      <c r="S156" s="66"/>
      <c r="T156" s="66"/>
    </row>
    <row r="157" spans="1:20" ht="15.6">
      <c r="A157" s="57">
        <v>159</v>
      </c>
      <c r="B157" s="59"/>
      <c r="C157" s="59"/>
      <c r="D157" s="60"/>
      <c r="E157" s="77"/>
      <c r="F157" s="69"/>
      <c r="G157" s="59"/>
      <c r="H157" s="58"/>
      <c r="I157" s="58"/>
      <c r="J157" s="58"/>
      <c r="K157" s="62"/>
      <c r="L157" s="62"/>
      <c r="M157" s="62"/>
      <c r="N157" s="70"/>
      <c r="O157" s="71"/>
      <c r="P157" s="64"/>
      <c r="Q157" s="72"/>
      <c r="S157" s="66"/>
      <c r="T157" s="66"/>
    </row>
    <row r="158" spans="1:20" ht="15.6">
      <c r="A158" s="57">
        <v>160</v>
      </c>
      <c r="B158" s="59"/>
      <c r="C158" s="59"/>
      <c r="D158" s="60"/>
      <c r="E158" s="77"/>
      <c r="F158" s="69"/>
      <c r="G158" s="59"/>
      <c r="H158" s="58"/>
      <c r="I158" s="58"/>
      <c r="J158" s="58"/>
      <c r="K158" s="62"/>
      <c r="L158" s="62"/>
      <c r="M158" s="62"/>
      <c r="N158" s="70"/>
      <c r="O158" s="71"/>
      <c r="P158" s="64"/>
      <c r="Q158" s="72"/>
      <c r="S158" s="66"/>
      <c r="T158" s="66"/>
    </row>
    <row r="159" spans="1:20" ht="15.6">
      <c r="A159" s="57">
        <v>161</v>
      </c>
      <c r="B159" s="59"/>
      <c r="C159" s="59"/>
      <c r="D159" s="60"/>
      <c r="E159" s="77"/>
      <c r="F159" s="69"/>
      <c r="G159" s="59"/>
      <c r="H159" s="58"/>
      <c r="I159" s="58"/>
      <c r="J159" s="58"/>
      <c r="K159" s="62"/>
      <c r="L159" s="62"/>
      <c r="M159" s="62"/>
      <c r="N159" s="70"/>
      <c r="O159" s="71"/>
      <c r="P159" s="64"/>
      <c r="Q159" s="72"/>
      <c r="S159" s="66"/>
      <c r="T159" s="66"/>
    </row>
    <row r="160" spans="1:20" ht="15.6">
      <c r="A160" s="57">
        <v>162</v>
      </c>
      <c r="B160" s="59"/>
      <c r="C160" s="59"/>
      <c r="D160" s="60"/>
      <c r="E160" s="77"/>
      <c r="F160" s="69"/>
      <c r="G160" s="59"/>
      <c r="H160" s="58"/>
      <c r="I160" s="58"/>
      <c r="J160" s="58"/>
      <c r="K160" s="62"/>
      <c r="L160" s="62"/>
      <c r="M160" s="62"/>
      <c r="N160" s="70"/>
      <c r="O160" s="71"/>
      <c r="P160" s="64"/>
      <c r="Q160" s="72"/>
      <c r="S160" s="66"/>
      <c r="T160" s="66"/>
    </row>
    <row r="161" spans="1:20" ht="15.6">
      <c r="A161" s="57">
        <v>163</v>
      </c>
      <c r="B161" s="59"/>
      <c r="C161" s="59"/>
      <c r="D161" s="60"/>
      <c r="E161" s="77"/>
      <c r="F161" s="69"/>
      <c r="G161" s="59"/>
      <c r="H161" s="58"/>
      <c r="I161" s="58"/>
      <c r="J161" s="58"/>
      <c r="K161" s="62"/>
      <c r="L161" s="62"/>
      <c r="M161" s="62"/>
      <c r="N161" s="70"/>
      <c r="O161" s="71"/>
      <c r="P161" s="64"/>
      <c r="Q161" s="72"/>
      <c r="S161" s="66"/>
      <c r="T161" s="66"/>
    </row>
    <row r="162" spans="1:20" ht="15.6">
      <c r="A162" s="57">
        <v>164</v>
      </c>
      <c r="B162" s="59"/>
      <c r="C162" s="59"/>
      <c r="D162" s="60"/>
      <c r="E162" s="77"/>
      <c r="F162" s="69"/>
      <c r="G162" s="59"/>
      <c r="H162" s="58"/>
      <c r="I162" s="58"/>
      <c r="J162" s="58"/>
      <c r="K162" s="62"/>
      <c r="L162" s="62"/>
      <c r="M162" s="62"/>
      <c r="N162" s="70"/>
      <c r="O162" s="71"/>
      <c r="P162" s="64"/>
      <c r="Q162" s="72"/>
      <c r="S162" s="66"/>
      <c r="T162" s="66"/>
    </row>
    <row r="163" spans="1:20" ht="15.6">
      <c r="A163" s="57">
        <v>165</v>
      </c>
      <c r="B163" s="59"/>
      <c r="C163" s="59"/>
      <c r="D163" s="60"/>
      <c r="E163" s="77"/>
      <c r="F163" s="69"/>
      <c r="G163" s="59"/>
      <c r="H163" s="58"/>
      <c r="I163" s="58"/>
      <c r="J163" s="58"/>
      <c r="K163" s="62"/>
      <c r="L163" s="62"/>
      <c r="M163" s="62"/>
      <c r="N163" s="70"/>
      <c r="O163" s="71"/>
      <c r="P163" s="64"/>
      <c r="Q163" s="72"/>
      <c r="S163" s="66"/>
      <c r="T163" s="66"/>
    </row>
    <row r="164" spans="1:20" ht="15.6">
      <c r="A164" s="57">
        <v>166</v>
      </c>
      <c r="B164" s="59"/>
      <c r="C164" s="59"/>
      <c r="D164" s="60"/>
      <c r="E164" s="77"/>
      <c r="F164" s="69"/>
      <c r="G164" s="59"/>
      <c r="H164" s="58"/>
      <c r="I164" s="58"/>
      <c r="J164" s="58"/>
      <c r="K164" s="62"/>
      <c r="L164" s="62"/>
      <c r="M164" s="62"/>
      <c r="N164" s="70"/>
      <c r="O164" s="71"/>
      <c r="P164" s="64"/>
      <c r="Q164" s="72"/>
      <c r="S164" s="66"/>
      <c r="T164" s="66"/>
    </row>
    <row r="165" spans="1:20" ht="15.6">
      <c r="A165" s="57">
        <v>167</v>
      </c>
      <c r="B165" s="59"/>
      <c r="C165" s="59"/>
      <c r="D165" s="60"/>
      <c r="E165" s="77"/>
      <c r="F165" s="69"/>
      <c r="G165" s="59"/>
      <c r="H165" s="58"/>
      <c r="I165" s="58"/>
      <c r="J165" s="58"/>
      <c r="K165" s="62"/>
      <c r="L165" s="62"/>
      <c r="M165" s="62"/>
      <c r="N165" s="70"/>
      <c r="O165" s="71"/>
      <c r="P165" s="64"/>
      <c r="Q165" s="72"/>
      <c r="S165" s="66"/>
      <c r="T165" s="66"/>
    </row>
    <row r="166" spans="1:20" ht="15.6">
      <c r="A166" s="57">
        <v>168</v>
      </c>
      <c r="B166" s="59"/>
      <c r="C166" s="59"/>
      <c r="D166" s="60"/>
      <c r="E166" s="77"/>
      <c r="F166" s="69"/>
      <c r="G166" s="59"/>
      <c r="H166" s="58"/>
      <c r="I166" s="58"/>
      <c r="J166" s="58"/>
      <c r="K166" s="62"/>
      <c r="L166" s="62"/>
      <c r="M166" s="62"/>
      <c r="N166" s="70"/>
      <c r="O166" s="71"/>
      <c r="P166" s="64"/>
      <c r="Q166" s="72"/>
      <c r="S166" s="66"/>
      <c r="T166" s="66"/>
    </row>
    <row r="167" spans="1:20" ht="15.6">
      <c r="A167" s="57">
        <v>169</v>
      </c>
      <c r="B167" s="59"/>
      <c r="C167" s="59"/>
      <c r="D167" s="60"/>
      <c r="E167" s="77"/>
      <c r="F167" s="69"/>
      <c r="G167" s="59"/>
      <c r="H167" s="58"/>
      <c r="I167" s="58"/>
      <c r="J167" s="58"/>
      <c r="K167" s="62"/>
      <c r="L167" s="62"/>
      <c r="M167" s="62"/>
      <c r="N167" s="70"/>
      <c r="O167" s="71"/>
      <c r="P167" s="64"/>
      <c r="Q167" s="72"/>
      <c r="S167" s="66"/>
      <c r="T167" s="66"/>
    </row>
    <row r="168" spans="1:20" ht="15.6">
      <c r="A168" s="57">
        <v>170</v>
      </c>
      <c r="B168" s="59"/>
      <c r="C168" s="59"/>
      <c r="D168" s="60"/>
      <c r="E168" s="77"/>
      <c r="F168" s="69"/>
      <c r="G168" s="59"/>
      <c r="H168" s="58"/>
      <c r="I168" s="58"/>
      <c r="J168" s="58"/>
      <c r="K168" s="62"/>
      <c r="L168" s="62"/>
      <c r="M168" s="62"/>
      <c r="N168" s="70"/>
      <c r="O168" s="71"/>
      <c r="P168" s="64"/>
      <c r="Q168" s="72"/>
      <c r="S168" s="66"/>
      <c r="T168" s="66"/>
    </row>
    <row r="169" spans="1:20" ht="15.6">
      <c r="A169" s="57">
        <v>171</v>
      </c>
      <c r="B169" s="59"/>
      <c r="C169" s="59"/>
      <c r="D169" s="60"/>
      <c r="E169" s="77"/>
      <c r="F169" s="69"/>
      <c r="G169" s="59"/>
      <c r="H169" s="58"/>
      <c r="I169" s="58"/>
      <c r="J169" s="58"/>
      <c r="K169" s="62"/>
      <c r="L169" s="62"/>
      <c r="M169" s="62"/>
      <c r="N169" s="70"/>
      <c r="O169" s="71"/>
      <c r="P169" s="64"/>
      <c r="Q169" s="72"/>
      <c r="S169" s="66"/>
      <c r="T169" s="66"/>
    </row>
    <row r="170" spans="1:20" ht="15.6">
      <c r="A170" s="57">
        <v>172</v>
      </c>
      <c r="B170" s="59"/>
      <c r="C170" s="59"/>
      <c r="D170" s="60"/>
      <c r="E170" s="77"/>
      <c r="F170" s="69"/>
      <c r="G170" s="59"/>
      <c r="H170" s="58"/>
      <c r="I170" s="58"/>
      <c r="J170" s="58"/>
      <c r="K170" s="62"/>
      <c r="L170" s="62"/>
      <c r="M170" s="62"/>
      <c r="N170" s="70"/>
      <c r="O170" s="71"/>
      <c r="P170" s="64"/>
      <c r="Q170" s="72"/>
      <c r="S170" s="66"/>
      <c r="T170" s="66"/>
    </row>
    <row r="171" spans="1:20" ht="15.6">
      <c r="A171" s="57">
        <v>173</v>
      </c>
      <c r="B171" s="59"/>
      <c r="C171" s="59"/>
      <c r="D171" s="60"/>
      <c r="E171" s="77"/>
      <c r="F171" s="69"/>
      <c r="G171" s="59"/>
      <c r="H171" s="58"/>
      <c r="I171" s="58"/>
      <c r="J171" s="58"/>
      <c r="K171" s="62"/>
      <c r="L171" s="62"/>
      <c r="M171" s="62"/>
      <c r="N171" s="70"/>
      <c r="O171" s="71"/>
      <c r="P171" s="64"/>
      <c r="Q171" s="72"/>
      <c r="S171" s="66"/>
      <c r="T171" s="66"/>
    </row>
    <row r="172" spans="1:20" ht="15.6">
      <c r="A172" s="57">
        <v>174</v>
      </c>
      <c r="B172" s="59"/>
      <c r="C172" s="59"/>
      <c r="D172" s="60"/>
      <c r="E172" s="77"/>
      <c r="F172" s="69"/>
      <c r="G172" s="59"/>
      <c r="H172" s="58"/>
      <c r="I172" s="58"/>
      <c r="J172" s="58"/>
      <c r="K172" s="62"/>
      <c r="L172" s="62"/>
      <c r="M172" s="62"/>
      <c r="N172" s="70"/>
      <c r="O172" s="71"/>
      <c r="P172" s="64"/>
      <c r="Q172" s="72"/>
      <c r="S172" s="66"/>
      <c r="T172" s="66"/>
    </row>
    <row r="173" spans="1:20" ht="15.6">
      <c r="A173" s="57">
        <v>175</v>
      </c>
      <c r="B173" s="59"/>
      <c r="C173" s="59"/>
      <c r="D173" s="60"/>
      <c r="E173" s="77"/>
      <c r="F173" s="69"/>
      <c r="G173" s="59"/>
      <c r="H173" s="58"/>
      <c r="I173" s="58"/>
      <c r="J173" s="58"/>
      <c r="K173" s="62"/>
      <c r="L173" s="62"/>
      <c r="M173" s="62"/>
      <c r="N173" s="70"/>
      <c r="O173" s="71"/>
      <c r="P173" s="64"/>
      <c r="Q173" s="72"/>
      <c r="S173" s="66"/>
      <c r="T173" s="66"/>
    </row>
    <row r="174" spans="1:20" ht="15.6">
      <c r="A174" s="57">
        <v>176</v>
      </c>
      <c r="B174" s="59"/>
      <c r="C174" s="59"/>
      <c r="D174" s="60"/>
      <c r="E174" s="77"/>
      <c r="F174" s="69"/>
      <c r="G174" s="59"/>
      <c r="H174" s="58"/>
      <c r="I174" s="58"/>
      <c r="J174" s="58"/>
      <c r="K174" s="62"/>
      <c r="L174" s="62"/>
      <c r="M174" s="62"/>
      <c r="N174" s="70"/>
      <c r="O174" s="71"/>
      <c r="P174" s="64"/>
      <c r="Q174" s="72"/>
      <c r="S174" s="66"/>
      <c r="T174" s="66"/>
    </row>
    <row r="175" spans="1:20" ht="15.6">
      <c r="A175" s="57">
        <v>177</v>
      </c>
      <c r="B175" s="59"/>
      <c r="C175" s="59"/>
      <c r="D175" s="60"/>
      <c r="E175" s="77"/>
      <c r="F175" s="69"/>
      <c r="G175" s="59"/>
      <c r="H175" s="58"/>
      <c r="I175" s="58"/>
      <c r="J175" s="58"/>
      <c r="K175" s="62"/>
      <c r="L175" s="62"/>
      <c r="M175" s="62"/>
      <c r="N175" s="70"/>
      <c r="O175" s="71"/>
      <c r="P175" s="64"/>
      <c r="Q175" s="72"/>
      <c r="S175" s="66"/>
      <c r="T175" s="66"/>
    </row>
    <row r="176" spans="1:20" ht="15.6">
      <c r="A176" s="57">
        <v>178</v>
      </c>
      <c r="B176" s="59"/>
      <c r="C176" s="59"/>
      <c r="D176" s="60"/>
      <c r="E176" s="77"/>
      <c r="F176" s="69"/>
      <c r="G176" s="59"/>
      <c r="H176" s="58"/>
      <c r="I176" s="58"/>
      <c r="J176" s="58"/>
      <c r="K176" s="62"/>
      <c r="L176" s="62"/>
      <c r="M176" s="62"/>
      <c r="N176" s="70"/>
      <c r="O176" s="71"/>
      <c r="P176" s="64"/>
      <c r="Q176" s="72"/>
      <c r="S176" s="66"/>
      <c r="T176" s="66"/>
    </row>
    <row r="177" spans="1:20" ht="15.6">
      <c r="A177" s="57">
        <v>179</v>
      </c>
      <c r="B177" s="59"/>
      <c r="C177" s="59"/>
      <c r="D177" s="60"/>
      <c r="E177" s="77"/>
      <c r="F177" s="69"/>
      <c r="G177" s="59"/>
      <c r="H177" s="58"/>
      <c r="I177" s="58"/>
      <c r="J177" s="58"/>
      <c r="K177" s="62"/>
      <c r="L177" s="62"/>
      <c r="M177" s="62"/>
      <c r="N177" s="70"/>
      <c r="O177" s="71"/>
      <c r="P177" s="64"/>
      <c r="Q177" s="72"/>
      <c r="S177" s="66"/>
      <c r="T177" s="66"/>
    </row>
    <row r="178" spans="1:20" ht="15.6">
      <c r="A178" s="57">
        <v>180</v>
      </c>
      <c r="B178" s="59"/>
      <c r="C178" s="59"/>
      <c r="D178" s="60"/>
      <c r="E178" s="77"/>
      <c r="F178" s="69"/>
      <c r="G178" s="59"/>
      <c r="H178" s="58"/>
      <c r="I178" s="58"/>
      <c r="J178" s="58"/>
      <c r="K178" s="62"/>
      <c r="L178" s="62"/>
      <c r="M178" s="62"/>
      <c r="N178" s="70"/>
      <c r="O178" s="71"/>
      <c r="P178" s="64"/>
      <c r="Q178" s="72"/>
      <c r="S178" s="66"/>
      <c r="T178" s="66"/>
    </row>
    <row r="179" spans="1:20" ht="15.6">
      <c r="A179" s="57">
        <v>181</v>
      </c>
      <c r="B179" s="59"/>
      <c r="C179" s="59"/>
      <c r="D179" s="60"/>
      <c r="E179" s="77"/>
      <c r="F179" s="69"/>
      <c r="G179" s="59"/>
      <c r="H179" s="58"/>
      <c r="I179" s="58"/>
      <c r="J179" s="58"/>
      <c r="K179" s="62"/>
      <c r="L179" s="62"/>
      <c r="M179" s="62"/>
      <c r="N179" s="70"/>
      <c r="O179" s="71"/>
      <c r="P179" s="64"/>
      <c r="Q179" s="72"/>
      <c r="S179" s="66"/>
      <c r="T179" s="66"/>
    </row>
    <row r="180" spans="1:20" ht="15.6">
      <c r="A180" s="57">
        <v>182</v>
      </c>
      <c r="B180" s="59"/>
      <c r="C180" s="59"/>
      <c r="D180" s="60"/>
      <c r="E180" s="77"/>
      <c r="F180" s="69"/>
      <c r="G180" s="59"/>
      <c r="H180" s="58"/>
      <c r="I180" s="58"/>
      <c r="J180" s="58"/>
      <c r="K180" s="62"/>
      <c r="L180" s="62"/>
      <c r="M180" s="62"/>
      <c r="N180" s="70"/>
      <c r="O180" s="71"/>
      <c r="P180" s="64"/>
      <c r="Q180" s="72"/>
      <c r="S180" s="66"/>
      <c r="T180" s="66"/>
    </row>
    <row r="181" spans="1:20" ht="15.6">
      <c r="A181" s="57">
        <v>183</v>
      </c>
      <c r="B181" s="59"/>
      <c r="C181" s="59"/>
      <c r="D181" s="60"/>
      <c r="E181" s="77"/>
      <c r="F181" s="69"/>
      <c r="G181" s="59"/>
      <c r="H181" s="58"/>
      <c r="I181" s="58"/>
      <c r="J181" s="58"/>
      <c r="K181" s="62"/>
      <c r="L181" s="62"/>
      <c r="M181" s="62"/>
      <c r="N181" s="70"/>
      <c r="O181" s="71"/>
      <c r="P181" s="64"/>
      <c r="Q181" s="72"/>
      <c r="S181" s="66"/>
      <c r="T181" s="66"/>
    </row>
    <row r="182" spans="1:20" ht="15.6">
      <c r="A182" s="57">
        <v>184</v>
      </c>
      <c r="B182" s="59"/>
      <c r="C182" s="59"/>
      <c r="D182" s="60"/>
      <c r="E182" s="77"/>
      <c r="F182" s="69"/>
      <c r="G182" s="59"/>
      <c r="H182" s="58"/>
      <c r="I182" s="58"/>
      <c r="J182" s="58"/>
      <c r="K182" s="62"/>
      <c r="L182" s="62"/>
      <c r="M182" s="62"/>
      <c r="N182" s="70"/>
      <c r="O182" s="71"/>
      <c r="P182" s="64"/>
      <c r="Q182" s="72"/>
      <c r="S182" s="66"/>
      <c r="T182" s="66"/>
    </row>
    <row r="183" spans="1:20" ht="15.6">
      <c r="A183" s="57">
        <v>185</v>
      </c>
      <c r="B183" s="59"/>
      <c r="C183" s="59"/>
      <c r="D183" s="60"/>
      <c r="E183" s="77"/>
      <c r="F183" s="69"/>
      <c r="G183" s="59"/>
      <c r="H183" s="58"/>
      <c r="I183" s="58"/>
      <c r="J183" s="58"/>
      <c r="K183" s="62"/>
      <c r="L183" s="62"/>
      <c r="M183" s="62"/>
      <c r="N183" s="70"/>
      <c r="O183" s="71"/>
      <c r="P183" s="64"/>
      <c r="Q183" s="72"/>
      <c r="S183" s="66"/>
      <c r="T183" s="66"/>
    </row>
    <row r="184" spans="1:20" ht="15.6">
      <c r="A184" s="57">
        <v>186</v>
      </c>
      <c r="B184" s="59"/>
      <c r="C184" s="59"/>
      <c r="D184" s="60"/>
      <c r="E184" s="77"/>
      <c r="F184" s="69"/>
      <c r="G184" s="59"/>
      <c r="H184" s="58"/>
      <c r="I184" s="58"/>
      <c r="J184" s="58"/>
      <c r="K184" s="62"/>
      <c r="L184" s="62"/>
      <c r="M184" s="62"/>
      <c r="N184" s="70"/>
      <c r="O184" s="71"/>
      <c r="P184" s="64"/>
      <c r="Q184" s="72"/>
      <c r="S184" s="66"/>
      <c r="T184" s="66"/>
    </row>
    <row r="185" spans="1:20" ht="15.6">
      <c r="A185" s="57">
        <v>187</v>
      </c>
      <c r="B185" s="59"/>
      <c r="C185" s="59"/>
      <c r="D185" s="60"/>
      <c r="E185" s="77"/>
      <c r="F185" s="69"/>
      <c r="G185" s="59"/>
      <c r="H185" s="58"/>
      <c r="I185" s="58"/>
      <c r="J185" s="58"/>
      <c r="K185" s="62"/>
      <c r="L185" s="62"/>
      <c r="M185" s="62"/>
      <c r="N185" s="70"/>
      <c r="O185" s="71"/>
      <c r="P185" s="64"/>
      <c r="Q185" s="72"/>
      <c r="S185" s="66"/>
      <c r="T185" s="66"/>
    </row>
    <row r="186" spans="1:20" ht="15.6">
      <c r="A186" s="57">
        <v>188</v>
      </c>
      <c r="B186" s="59"/>
      <c r="C186" s="59"/>
      <c r="D186" s="60"/>
      <c r="E186" s="77"/>
      <c r="F186" s="69"/>
      <c r="G186" s="59"/>
      <c r="H186" s="58"/>
      <c r="I186" s="58"/>
      <c r="J186" s="58"/>
      <c r="K186" s="62"/>
      <c r="L186" s="62"/>
      <c r="M186" s="62"/>
      <c r="N186" s="70"/>
      <c r="O186" s="71"/>
      <c r="P186" s="64"/>
      <c r="Q186" s="72"/>
      <c r="S186" s="66"/>
      <c r="T186" s="66"/>
    </row>
    <row r="187" spans="1:20" ht="15.6">
      <c r="A187" s="57">
        <v>189</v>
      </c>
      <c r="B187" s="59"/>
      <c r="C187" s="59"/>
      <c r="D187" s="60"/>
      <c r="E187" s="77"/>
      <c r="F187" s="69"/>
      <c r="G187" s="59"/>
      <c r="H187" s="58"/>
      <c r="I187" s="58"/>
      <c r="J187" s="58"/>
      <c r="K187" s="62"/>
      <c r="L187" s="62"/>
      <c r="M187" s="62"/>
      <c r="N187" s="70"/>
      <c r="O187" s="71"/>
      <c r="P187" s="64"/>
      <c r="Q187" s="72"/>
      <c r="S187" s="66"/>
      <c r="T187" s="66"/>
    </row>
    <row r="188" spans="1:20" ht="15.6">
      <c r="A188" s="57">
        <v>190</v>
      </c>
      <c r="B188" s="59"/>
      <c r="C188" s="59"/>
      <c r="D188" s="60"/>
      <c r="E188" s="77"/>
      <c r="F188" s="69"/>
      <c r="G188" s="59"/>
      <c r="H188" s="58"/>
      <c r="I188" s="58"/>
      <c r="J188" s="58"/>
      <c r="K188" s="62"/>
      <c r="L188" s="62"/>
      <c r="M188" s="62"/>
      <c r="N188" s="70"/>
      <c r="O188" s="71"/>
      <c r="P188" s="64"/>
      <c r="Q188" s="72"/>
      <c r="S188" s="66"/>
      <c r="T188" s="66"/>
    </row>
    <row r="189" spans="1:20" ht="15.6">
      <c r="A189" s="57">
        <v>191</v>
      </c>
      <c r="B189" s="59"/>
      <c r="C189" s="59"/>
      <c r="D189" s="60"/>
      <c r="E189" s="77"/>
      <c r="F189" s="69"/>
      <c r="G189" s="59"/>
      <c r="H189" s="58"/>
      <c r="I189" s="58"/>
      <c r="J189" s="58"/>
      <c r="K189" s="62"/>
      <c r="L189" s="62"/>
      <c r="M189" s="62"/>
      <c r="N189" s="70"/>
      <c r="O189" s="71"/>
      <c r="P189" s="64"/>
      <c r="Q189" s="72"/>
      <c r="S189" s="66"/>
      <c r="T189" s="66"/>
    </row>
    <row r="190" spans="1:20" ht="15.6">
      <c r="A190" s="57">
        <v>192</v>
      </c>
      <c r="B190" s="59"/>
      <c r="C190" s="59"/>
      <c r="D190" s="60"/>
      <c r="E190" s="77"/>
      <c r="F190" s="69"/>
      <c r="G190" s="59"/>
      <c r="H190" s="58"/>
      <c r="I190" s="58"/>
      <c r="J190" s="58"/>
      <c r="K190" s="62"/>
      <c r="L190" s="62"/>
      <c r="M190" s="62"/>
      <c r="N190" s="70"/>
      <c r="O190" s="71"/>
      <c r="P190" s="64"/>
      <c r="Q190" s="72"/>
      <c r="S190" s="66"/>
      <c r="T190" s="66"/>
    </row>
    <row r="191" spans="1:20" ht="15.6">
      <c r="A191" s="57">
        <v>193</v>
      </c>
      <c r="B191" s="59"/>
      <c r="C191" s="59"/>
      <c r="D191" s="60"/>
      <c r="E191" s="77"/>
      <c r="F191" s="69"/>
      <c r="G191" s="59"/>
      <c r="H191" s="58"/>
      <c r="I191" s="58"/>
      <c r="J191" s="58"/>
      <c r="K191" s="62"/>
      <c r="L191" s="62"/>
      <c r="M191" s="62"/>
      <c r="N191" s="70"/>
      <c r="O191" s="71"/>
      <c r="P191" s="64"/>
      <c r="Q191" s="72"/>
      <c r="S191" s="66"/>
      <c r="T191" s="66"/>
    </row>
    <row r="192" spans="1:20" ht="15.6">
      <c r="A192" s="57">
        <v>194</v>
      </c>
      <c r="B192" s="59"/>
      <c r="C192" s="59"/>
      <c r="D192" s="60"/>
      <c r="E192" s="77"/>
      <c r="F192" s="69"/>
      <c r="G192" s="59"/>
      <c r="H192" s="58"/>
      <c r="I192" s="58"/>
      <c r="J192" s="58"/>
      <c r="K192" s="62"/>
      <c r="L192" s="62"/>
      <c r="M192" s="62"/>
      <c r="N192" s="70"/>
      <c r="O192" s="71"/>
      <c r="P192" s="64"/>
      <c r="Q192" s="72"/>
      <c r="S192" s="66"/>
      <c r="T192" s="66"/>
    </row>
    <row r="193" spans="1:20" ht="15.6">
      <c r="A193" s="57">
        <v>195</v>
      </c>
      <c r="B193" s="59"/>
      <c r="C193" s="59"/>
      <c r="D193" s="60"/>
      <c r="E193" s="77"/>
      <c r="F193" s="69"/>
      <c r="G193" s="59"/>
      <c r="H193" s="58"/>
      <c r="I193" s="58"/>
      <c r="J193" s="58"/>
      <c r="K193" s="62"/>
      <c r="L193" s="62"/>
      <c r="M193" s="62"/>
      <c r="N193" s="70"/>
      <c r="O193" s="71"/>
      <c r="P193" s="64"/>
      <c r="Q193" s="72"/>
      <c r="S193" s="66"/>
      <c r="T193" s="66"/>
    </row>
    <row r="194" spans="1:20" ht="15.6">
      <c r="A194" s="57">
        <v>196</v>
      </c>
      <c r="B194" s="59"/>
      <c r="C194" s="59"/>
      <c r="D194" s="60"/>
      <c r="E194" s="77"/>
      <c r="F194" s="69"/>
      <c r="G194" s="59"/>
      <c r="H194" s="58"/>
      <c r="I194" s="58"/>
      <c r="J194" s="58"/>
      <c r="K194" s="62"/>
      <c r="L194" s="62"/>
      <c r="M194" s="62"/>
      <c r="N194" s="70"/>
      <c r="O194" s="71"/>
      <c r="P194" s="64"/>
      <c r="Q194" s="72"/>
      <c r="S194" s="66"/>
      <c r="T194" s="66"/>
    </row>
    <row r="195" spans="1:20" ht="15.6">
      <c r="A195" s="57">
        <v>197</v>
      </c>
      <c r="B195" s="59"/>
      <c r="C195" s="59"/>
      <c r="D195" s="60"/>
      <c r="E195" s="77"/>
      <c r="F195" s="69"/>
      <c r="G195" s="59"/>
      <c r="H195" s="58"/>
      <c r="I195" s="58"/>
      <c r="J195" s="58"/>
      <c r="K195" s="62"/>
      <c r="L195" s="62"/>
      <c r="M195" s="62"/>
      <c r="N195" s="70"/>
      <c r="O195" s="71"/>
      <c r="P195" s="64"/>
      <c r="Q195" s="72"/>
      <c r="S195" s="66"/>
      <c r="T195" s="66"/>
    </row>
    <row r="196" spans="1:20" ht="15.6">
      <c r="A196" s="57">
        <v>198</v>
      </c>
      <c r="B196" s="59"/>
      <c r="C196" s="59"/>
      <c r="D196" s="60"/>
      <c r="E196" s="77"/>
      <c r="F196" s="69"/>
      <c r="G196" s="59"/>
      <c r="H196" s="58"/>
      <c r="I196" s="58"/>
      <c r="J196" s="58"/>
      <c r="K196" s="62"/>
      <c r="L196" s="62"/>
      <c r="M196" s="62"/>
      <c r="N196" s="70"/>
      <c r="O196" s="71"/>
      <c r="P196" s="64"/>
      <c r="Q196" s="72"/>
      <c r="S196" s="66"/>
      <c r="T196" s="66"/>
    </row>
    <row r="197" spans="1:20" ht="15.6">
      <c r="A197" s="57">
        <v>199</v>
      </c>
      <c r="B197" s="59"/>
      <c r="C197" s="59"/>
      <c r="D197" s="60"/>
      <c r="E197" s="77"/>
      <c r="F197" s="69"/>
      <c r="G197" s="59"/>
      <c r="H197" s="58"/>
      <c r="I197" s="58"/>
      <c r="J197" s="58"/>
      <c r="K197" s="62"/>
      <c r="L197" s="62"/>
      <c r="M197" s="62"/>
      <c r="N197" s="70"/>
      <c r="O197" s="71"/>
      <c r="P197" s="64"/>
      <c r="Q197" s="72"/>
      <c r="S197" s="66"/>
      <c r="T197" s="66"/>
    </row>
    <row r="198" spans="1:20" ht="15.6">
      <c r="A198" s="57">
        <v>200</v>
      </c>
      <c r="B198" s="59"/>
      <c r="C198" s="59"/>
      <c r="D198" s="60"/>
      <c r="E198" s="77"/>
      <c r="F198" s="69"/>
      <c r="G198" s="59"/>
      <c r="H198" s="58"/>
      <c r="I198" s="58"/>
      <c r="J198" s="58"/>
      <c r="K198" s="62"/>
      <c r="L198" s="62"/>
      <c r="M198" s="62"/>
      <c r="N198" s="70"/>
      <c r="O198" s="71"/>
      <c r="P198" s="64"/>
      <c r="Q198" s="72"/>
      <c r="S198" s="66"/>
      <c r="T198" s="66"/>
    </row>
    <row r="199" spans="1:20" ht="15.6">
      <c r="A199" s="57">
        <v>201</v>
      </c>
      <c r="B199" s="59"/>
      <c r="C199" s="59"/>
      <c r="D199" s="60"/>
      <c r="E199" s="77"/>
      <c r="F199" s="69"/>
      <c r="G199" s="59"/>
      <c r="H199" s="58"/>
      <c r="I199" s="58"/>
      <c r="J199" s="58"/>
      <c r="K199" s="62"/>
      <c r="L199" s="62"/>
      <c r="M199" s="62"/>
      <c r="N199" s="70"/>
      <c r="O199" s="71"/>
      <c r="P199" s="64"/>
      <c r="Q199" s="72"/>
      <c r="S199" s="66"/>
      <c r="T199" s="66"/>
    </row>
    <row r="200" spans="1:20" ht="15.6">
      <c r="A200" s="57">
        <v>202</v>
      </c>
      <c r="B200" s="59"/>
      <c r="C200" s="59"/>
      <c r="D200" s="60"/>
      <c r="E200" s="77"/>
      <c r="F200" s="69"/>
      <c r="G200" s="59"/>
      <c r="H200" s="58"/>
      <c r="I200" s="58"/>
      <c r="J200" s="58"/>
      <c r="K200" s="62"/>
      <c r="L200" s="62"/>
      <c r="M200" s="62"/>
      <c r="N200" s="70"/>
      <c r="O200" s="71"/>
      <c r="P200" s="64"/>
      <c r="Q200" s="72"/>
      <c r="S200" s="66"/>
      <c r="T200" s="66"/>
    </row>
    <row r="201" spans="1:20" ht="15.6">
      <c r="A201" s="57">
        <v>203</v>
      </c>
      <c r="B201" s="59"/>
      <c r="C201" s="59"/>
      <c r="D201" s="60"/>
      <c r="E201" s="77"/>
      <c r="F201" s="69"/>
      <c r="G201" s="59"/>
      <c r="H201" s="58"/>
      <c r="I201" s="58"/>
      <c r="J201" s="58"/>
      <c r="K201" s="62"/>
      <c r="L201" s="62"/>
      <c r="M201" s="62"/>
      <c r="N201" s="70"/>
      <c r="O201" s="71"/>
      <c r="P201" s="64"/>
      <c r="Q201" s="72"/>
      <c r="S201" s="66"/>
      <c r="T201" s="66"/>
    </row>
    <row r="202" spans="1:20" ht="15.6">
      <c r="A202" s="57">
        <v>204</v>
      </c>
      <c r="B202" s="59"/>
      <c r="C202" s="59"/>
      <c r="D202" s="60"/>
      <c r="E202" s="77"/>
      <c r="F202" s="69"/>
      <c r="G202" s="59"/>
      <c r="H202" s="58"/>
      <c r="I202" s="58"/>
      <c r="J202" s="58"/>
      <c r="K202" s="62"/>
      <c r="L202" s="62"/>
      <c r="M202" s="62"/>
      <c r="N202" s="70"/>
      <c r="O202" s="71"/>
      <c r="P202" s="64"/>
      <c r="Q202" s="72"/>
      <c r="S202" s="66"/>
      <c r="T202" s="66"/>
    </row>
    <row r="203" spans="1:20" ht="15.6">
      <c r="A203" s="57">
        <v>205</v>
      </c>
      <c r="B203" s="59"/>
      <c r="C203" s="59"/>
      <c r="D203" s="60"/>
      <c r="E203" s="77"/>
      <c r="F203" s="69"/>
      <c r="G203" s="59"/>
      <c r="H203" s="58"/>
      <c r="I203" s="58"/>
      <c r="J203" s="58"/>
      <c r="K203" s="62"/>
      <c r="L203" s="62"/>
      <c r="M203" s="62"/>
      <c r="N203" s="70"/>
      <c r="O203" s="71"/>
      <c r="P203" s="64"/>
      <c r="Q203" s="72"/>
      <c r="S203" s="66"/>
      <c r="T203" s="66"/>
    </row>
    <row r="204" spans="1:20" ht="15.6">
      <c r="A204" s="57">
        <v>206</v>
      </c>
      <c r="B204" s="59"/>
      <c r="C204" s="59"/>
      <c r="D204" s="60"/>
      <c r="E204" s="77"/>
      <c r="F204" s="69"/>
      <c r="G204" s="59"/>
      <c r="H204" s="58"/>
      <c r="I204" s="58"/>
      <c r="J204" s="58"/>
      <c r="K204" s="62"/>
      <c r="L204" s="62"/>
      <c r="M204" s="62"/>
      <c r="N204" s="70"/>
      <c r="O204" s="71"/>
      <c r="P204" s="64"/>
      <c r="Q204" s="72"/>
      <c r="S204" s="66"/>
      <c r="T204" s="66"/>
    </row>
    <row r="205" spans="1:20" ht="15.6">
      <c r="A205" s="57">
        <v>207</v>
      </c>
      <c r="B205" s="59"/>
      <c r="C205" s="59"/>
      <c r="D205" s="60"/>
      <c r="E205" s="77"/>
      <c r="F205" s="69"/>
      <c r="G205" s="59"/>
      <c r="H205" s="58"/>
      <c r="I205" s="58"/>
      <c r="J205" s="58"/>
      <c r="K205" s="62"/>
      <c r="L205" s="62"/>
      <c r="M205" s="62"/>
      <c r="N205" s="70"/>
      <c r="O205" s="71"/>
      <c r="P205" s="64"/>
      <c r="Q205" s="72"/>
      <c r="S205" s="66"/>
      <c r="T205" s="66"/>
    </row>
    <row r="206" spans="1:20" ht="15.6">
      <c r="A206" s="57">
        <v>208</v>
      </c>
      <c r="B206" s="59"/>
      <c r="C206" s="59"/>
      <c r="D206" s="60"/>
      <c r="E206" s="77"/>
      <c r="F206" s="69"/>
      <c r="G206" s="59"/>
      <c r="H206" s="58"/>
      <c r="I206" s="58"/>
      <c r="J206" s="58"/>
      <c r="K206" s="62"/>
      <c r="L206" s="62"/>
      <c r="M206" s="62"/>
      <c r="N206" s="70"/>
      <c r="O206" s="71"/>
      <c r="P206" s="64"/>
      <c r="Q206" s="72"/>
      <c r="S206" s="66"/>
      <c r="T206" s="66"/>
    </row>
    <row r="207" spans="1:20" ht="15.6">
      <c r="A207" s="57">
        <v>209</v>
      </c>
      <c r="B207" s="59"/>
      <c r="C207" s="59"/>
      <c r="D207" s="60"/>
      <c r="E207" s="77"/>
      <c r="F207" s="69"/>
      <c r="G207" s="59"/>
      <c r="H207" s="58"/>
      <c r="I207" s="58"/>
      <c r="J207" s="58"/>
      <c r="K207" s="62"/>
      <c r="L207" s="62"/>
      <c r="M207" s="62"/>
      <c r="N207" s="70"/>
      <c r="O207" s="71"/>
      <c r="P207" s="64"/>
      <c r="Q207" s="72"/>
      <c r="S207" s="66"/>
      <c r="T207" s="66"/>
    </row>
    <row r="208" spans="1:20" ht="15.6">
      <c r="A208" s="57">
        <v>210</v>
      </c>
      <c r="B208" s="59"/>
      <c r="C208" s="59"/>
      <c r="D208" s="60"/>
      <c r="E208" s="77"/>
      <c r="F208" s="69"/>
      <c r="G208" s="59"/>
      <c r="H208" s="58"/>
      <c r="I208" s="58"/>
      <c r="J208" s="58"/>
      <c r="K208" s="62"/>
      <c r="L208" s="62"/>
      <c r="M208" s="62"/>
      <c r="N208" s="70"/>
      <c r="O208" s="71"/>
      <c r="P208" s="64"/>
      <c r="Q208" s="72"/>
      <c r="S208" s="66"/>
      <c r="T208" s="66"/>
    </row>
    <row r="209" spans="1:20" ht="15.6">
      <c r="A209" s="57">
        <v>211</v>
      </c>
      <c r="B209" s="59"/>
      <c r="C209" s="59"/>
      <c r="D209" s="60"/>
      <c r="E209" s="77"/>
      <c r="F209" s="69"/>
      <c r="G209" s="59"/>
      <c r="H209" s="58"/>
      <c r="I209" s="58"/>
      <c r="J209" s="58"/>
      <c r="K209" s="62"/>
      <c r="L209" s="62"/>
      <c r="M209" s="62"/>
      <c r="N209" s="70"/>
      <c r="O209" s="71"/>
      <c r="P209" s="64"/>
      <c r="Q209" s="72"/>
      <c r="S209" s="66"/>
      <c r="T209" s="66"/>
    </row>
    <row r="210" spans="1:20" ht="15.6">
      <c r="A210" s="57">
        <v>212</v>
      </c>
      <c r="B210" s="59"/>
      <c r="C210" s="59"/>
      <c r="D210" s="60"/>
      <c r="E210" s="77"/>
      <c r="F210" s="69"/>
      <c r="G210" s="59"/>
      <c r="H210" s="58"/>
      <c r="I210" s="58"/>
      <c r="J210" s="58"/>
      <c r="K210" s="62"/>
      <c r="L210" s="62"/>
      <c r="M210" s="62"/>
      <c r="N210" s="70"/>
      <c r="O210" s="71"/>
      <c r="P210" s="64"/>
      <c r="Q210" s="72"/>
      <c r="S210" s="66"/>
      <c r="T210" s="66"/>
    </row>
    <row r="211" spans="1:20" ht="15.6">
      <c r="A211" s="57">
        <v>213</v>
      </c>
      <c r="B211" s="59"/>
      <c r="C211" s="59"/>
      <c r="D211" s="60"/>
      <c r="E211" s="77"/>
      <c r="F211" s="69"/>
      <c r="G211" s="59"/>
      <c r="H211" s="58"/>
      <c r="I211" s="58"/>
      <c r="J211" s="58"/>
      <c r="K211" s="62"/>
      <c r="L211" s="62"/>
      <c r="M211" s="62"/>
      <c r="N211" s="70"/>
      <c r="O211" s="71"/>
      <c r="P211" s="64"/>
      <c r="Q211" s="72"/>
      <c r="S211" s="66"/>
      <c r="T211" s="66"/>
    </row>
    <row r="212" spans="1:20" ht="15.6">
      <c r="A212" s="57">
        <v>214</v>
      </c>
      <c r="B212" s="59"/>
      <c r="C212" s="59"/>
      <c r="D212" s="60"/>
      <c r="E212" s="77"/>
      <c r="F212" s="69"/>
      <c r="G212" s="59"/>
      <c r="H212" s="58"/>
      <c r="I212" s="58"/>
      <c r="J212" s="58"/>
      <c r="K212" s="62"/>
      <c r="L212" s="62"/>
      <c r="M212" s="62"/>
      <c r="N212" s="70"/>
      <c r="O212" s="71"/>
      <c r="P212" s="64"/>
      <c r="Q212" s="72"/>
      <c r="S212" s="66"/>
      <c r="T212" s="66"/>
    </row>
    <row r="213" spans="1:20" ht="15.6">
      <c r="A213" s="57">
        <v>215</v>
      </c>
      <c r="B213" s="59"/>
      <c r="C213" s="59"/>
      <c r="D213" s="60"/>
      <c r="E213" s="77"/>
      <c r="F213" s="69"/>
      <c r="G213" s="59"/>
      <c r="H213" s="58"/>
      <c r="I213" s="58"/>
      <c r="J213" s="58"/>
      <c r="K213" s="62"/>
      <c r="L213" s="62"/>
      <c r="M213" s="62"/>
      <c r="N213" s="70"/>
      <c r="O213" s="71"/>
      <c r="P213" s="64"/>
      <c r="Q213" s="72"/>
      <c r="S213" s="66"/>
      <c r="T213" s="66"/>
    </row>
    <row r="214" spans="1:20" ht="15.6">
      <c r="A214" s="57">
        <v>216</v>
      </c>
      <c r="B214" s="59"/>
      <c r="C214" s="59"/>
      <c r="D214" s="60"/>
      <c r="E214" s="77"/>
      <c r="F214" s="69"/>
      <c r="G214" s="59"/>
      <c r="H214" s="58"/>
      <c r="I214" s="58"/>
      <c r="J214" s="58"/>
      <c r="K214" s="62"/>
      <c r="L214" s="62"/>
      <c r="M214" s="62"/>
      <c r="N214" s="70"/>
      <c r="O214" s="71"/>
      <c r="P214" s="64"/>
      <c r="Q214" s="72"/>
      <c r="S214" s="66"/>
      <c r="T214" s="66"/>
    </row>
    <row r="215" spans="1:20" ht="15.6">
      <c r="A215" s="57">
        <v>217</v>
      </c>
      <c r="B215" s="59"/>
      <c r="C215" s="59"/>
      <c r="D215" s="60"/>
      <c r="E215" s="77"/>
      <c r="F215" s="69"/>
      <c r="G215" s="59"/>
      <c r="H215" s="58"/>
      <c r="I215" s="58"/>
      <c r="J215" s="58"/>
      <c r="K215" s="62"/>
      <c r="L215" s="62"/>
      <c r="M215" s="62"/>
      <c r="N215" s="70"/>
      <c r="O215" s="71"/>
      <c r="P215" s="64"/>
      <c r="Q215" s="72"/>
      <c r="S215" s="66"/>
      <c r="T215" s="66"/>
    </row>
    <row r="216" spans="1:20" ht="15.6">
      <c r="A216" s="57">
        <v>218</v>
      </c>
      <c r="B216" s="59"/>
      <c r="C216" s="59"/>
      <c r="D216" s="60"/>
      <c r="E216" s="77"/>
      <c r="F216" s="69"/>
      <c r="G216" s="59"/>
      <c r="H216" s="58"/>
      <c r="I216" s="58"/>
      <c r="J216" s="58"/>
      <c r="K216" s="62"/>
      <c r="L216" s="62"/>
      <c r="M216" s="62"/>
      <c r="N216" s="70"/>
      <c r="O216" s="71"/>
      <c r="P216" s="64"/>
      <c r="Q216" s="72"/>
      <c r="S216" s="66"/>
      <c r="T216" s="66"/>
    </row>
    <row r="217" spans="1:20" ht="15.6">
      <c r="A217" s="57">
        <v>219</v>
      </c>
      <c r="B217" s="59"/>
      <c r="C217" s="59"/>
      <c r="D217" s="60"/>
      <c r="E217" s="77"/>
      <c r="F217" s="69"/>
      <c r="G217" s="59"/>
      <c r="H217" s="58"/>
      <c r="I217" s="58"/>
      <c r="J217" s="58"/>
      <c r="K217" s="62"/>
      <c r="L217" s="62"/>
      <c r="M217" s="62"/>
      <c r="N217" s="70"/>
      <c r="O217" s="71"/>
      <c r="P217" s="64"/>
      <c r="Q217" s="72"/>
      <c r="S217" s="66"/>
      <c r="T217" s="66"/>
    </row>
    <row r="218" spans="1:20" ht="15.6">
      <c r="A218" s="57">
        <v>220</v>
      </c>
      <c r="B218" s="59"/>
      <c r="C218" s="59"/>
      <c r="D218" s="60"/>
      <c r="E218" s="77"/>
      <c r="F218" s="69"/>
      <c r="G218" s="59"/>
      <c r="H218" s="58"/>
      <c r="I218" s="58"/>
      <c r="J218" s="58"/>
      <c r="K218" s="62"/>
      <c r="L218" s="62"/>
      <c r="M218" s="62"/>
      <c r="N218" s="70"/>
      <c r="O218" s="71"/>
      <c r="P218" s="64"/>
      <c r="Q218" s="72"/>
      <c r="S218" s="66"/>
      <c r="T218" s="66"/>
    </row>
    <row r="219" spans="1:20" ht="15.6">
      <c r="A219" s="57">
        <v>221</v>
      </c>
      <c r="B219" s="59"/>
      <c r="C219" s="59"/>
      <c r="D219" s="60"/>
      <c r="E219" s="77"/>
      <c r="F219" s="69"/>
      <c r="G219" s="59"/>
      <c r="H219" s="58"/>
      <c r="I219" s="58"/>
      <c r="J219" s="58"/>
      <c r="K219" s="62"/>
      <c r="L219" s="62"/>
      <c r="M219" s="62"/>
      <c r="N219" s="70"/>
      <c r="O219" s="71"/>
      <c r="P219" s="64"/>
      <c r="Q219" s="72"/>
      <c r="S219" s="66"/>
      <c r="T219" s="66"/>
    </row>
    <row r="220" spans="1:20" ht="15.6">
      <c r="A220" s="57">
        <v>222</v>
      </c>
      <c r="B220" s="59"/>
      <c r="C220" s="59"/>
      <c r="D220" s="60"/>
      <c r="E220" s="77"/>
      <c r="F220" s="69"/>
      <c r="G220" s="59"/>
      <c r="H220" s="58"/>
      <c r="I220" s="58"/>
      <c r="J220" s="58"/>
      <c r="K220" s="62"/>
      <c r="L220" s="62"/>
      <c r="M220" s="62"/>
      <c r="N220" s="70"/>
      <c r="O220" s="71"/>
      <c r="P220" s="64"/>
      <c r="Q220" s="72"/>
      <c r="S220" s="66"/>
      <c r="T220" s="66"/>
    </row>
    <row r="221" spans="1:20" ht="15.6">
      <c r="A221" s="57">
        <v>223</v>
      </c>
      <c r="B221" s="59"/>
      <c r="C221" s="59"/>
      <c r="D221" s="60"/>
      <c r="E221" s="77"/>
      <c r="F221" s="69"/>
      <c r="G221" s="59"/>
      <c r="H221" s="58"/>
      <c r="I221" s="58"/>
      <c r="J221" s="58"/>
      <c r="K221" s="62"/>
      <c r="L221" s="62"/>
      <c r="M221" s="62"/>
      <c r="N221" s="70"/>
      <c r="O221" s="71"/>
      <c r="P221" s="64"/>
      <c r="Q221" s="72"/>
      <c r="S221" s="66"/>
      <c r="T221" s="66"/>
    </row>
    <row r="222" spans="1:20" ht="15.6">
      <c r="A222" s="57">
        <v>224</v>
      </c>
      <c r="B222" s="59"/>
      <c r="C222" s="59"/>
      <c r="D222" s="60"/>
      <c r="E222" s="77"/>
      <c r="F222" s="69"/>
      <c r="G222" s="59"/>
      <c r="H222" s="58"/>
      <c r="I222" s="58"/>
      <c r="J222" s="58"/>
      <c r="K222" s="62"/>
      <c r="L222" s="62"/>
      <c r="M222" s="62"/>
      <c r="N222" s="70"/>
      <c r="O222" s="71"/>
      <c r="P222" s="64"/>
      <c r="Q222" s="72"/>
      <c r="S222" s="66"/>
      <c r="T222" s="66"/>
    </row>
    <row r="223" spans="1:20" ht="15.6">
      <c r="A223" s="57">
        <v>225</v>
      </c>
      <c r="B223" s="59"/>
      <c r="C223" s="59"/>
      <c r="D223" s="60"/>
      <c r="E223" s="77"/>
      <c r="F223" s="69"/>
      <c r="G223" s="59"/>
      <c r="H223" s="58"/>
      <c r="I223" s="58"/>
      <c r="J223" s="58"/>
      <c r="K223" s="62"/>
      <c r="L223" s="62"/>
      <c r="M223" s="62"/>
      <c r="N223" s="70"/>
      <c r="O223" s="71"/>
      <c r="P223" s="64"/>
      <c r="Q223" s="72"/>
      <c r="S223" s="66"/>
      <c r="T223" s="66"/>
    </row>
    <row r="224" spans="1:20" ht="15.6">
      <c r="A224" s="57">
        <v>226</v>
      </c>
      <c r="B224" s="59"/>
      <c r="C224" s="59"/>
      <c r="D224" s="60"/>
      <c r="E224" s="77"/>
      <c r="F224" s="69"/>
      <c r="G224" s="59"/>
      <c r="H224" s="58"/>
      <c r="I224" s="58"/>
      <c r="J224" s="58"/>
      <c r="K224" s="62"/>
      <c r="L224" s="62"/>
      <c r="M224" s="62"/>
      <c r="N224" s="70"/>
      <c r="O224" s="71"/>
      <c r="P224" s="64"/>
      <c r="Q224" s="72"/>
      <c r="S224" s="66"/>
      <c r="T224" s="66"/>
    </row>
    <row r="225" spans="1:20" ht="15.6">
      <c r="A225" s="57">
        <v>227</v>
      </c>
      <c r="B225" s="59"/>
      <c r="C225" s="59"/>
      <c r="D225" s="60"/>
      <c r="E225" s="77"/>
      <c r="F225" s="69"/>
      <c r="G225" s="59"/>
      <c r="H225" s="58"/>
      <c r="I225" s="58"/>
      <c r="J225" s="58"/>
      <c r="K225" s="62"/>
      <c r="L225" s="62"/>
      <c r="M225" s="62"/>
      <c r="N225" s="70"/>
      <c r="O225" s="71"/>
      <c r="P225" s="64"/>
      <c r="Q225" s="72"/>
      <c r="S225" s="66"/>
      <c r="T225" s="66"/>
    </row>
    <row r="226" spans="1:20" ht="15.6">
      <c r="A226" s="57">
        <v>228</v>
      </c>
      <c r="B226" s="59"/>
      <c r="C226" s="59"/>
      <c r="D226" s="60"/>
      <c r="E226" s="77"/>
      <c r="F226" s="69"/>
      <c r="G226" s="59"/>
      <c r="H226" s="58"/>
      <c r="I226" s="58"/>
      <c r="J226" s="58"/>
      <c r="K226" s="62"/>
      <c r="L226" s="62"/>
      <c r="M226" s="62"/>
      <c r="N226" s="70"/>
      <c r="O226" s="71"/>
      <c r="P226" s="64"/>
      <c r="Q226" s="72"/>
      <c r="S226" s="66"/>
      <c r="T226" s="66"/>
    </row>
    <row r="227" spans="1:20" ht="15.6">
      <c r="A227" s="57">
        <v>229</v>
      </c>
      <c r="B227" s="59"/>
      <c r="C227" s="59"/>
      <c r="D227" s="60"/>
      <c r="E227" s="77"/>
      <c r="F227" s="69"/>
      <c r="G227" s="59"/>
      <c r="H227" s="58"/>
      <c r="I227" s="58"/>
      <c r="J227" s="58"/>
      <c r="K227" s="62"/>
      <c r="L227" s="62"/>
      <c r="M227" s="62"/>
      <c r="N227" s="70"/>
      <c r="O227" s="71"/>
      <c r="P227" s="64"/>
      <c r="Q227" s="72"/>
      <c r="S227" s="66"/>
      <c r="T227" s="66"/>
    </row>
    <row r="228" spans="1:20" ht="15.6">
      <c r="A228" s="57">
        <v>230</v>
      </c>
      <c r="B228" s="59"/>
      <c r="C228" s="59"/>
      <c r="D228" s="60"/>
      <c r="E228" s="77"/>
      <c r="F228" s="69"/>
      <c r="G228" s="59"/>
      <c r="H228" s="58"/>
      <c r="I228" s="58"/>
      <c r="J228" s="58"/>
      <c r="K228" s="62"/>
      <c r="L228" s="62"/>
      <c r="M228" s="62"/>
      <c r="N228" s="70"/>
      <c r="O228" s="71"/>
      <c r="P228" s="64"/>
      <c r="Q228" s="72"/>
      <c r="S228" s="66"/>
      <c r="T228" s="66"/>
    </row>
    <row r="229" spans="1:20" ht="15.6">
      <c r="A229" s="57">
        <v>231</v>
      </c>
      <c r="B229" s="59"/>
      <c r="C229" s="59"/>
      <c r="D229" s="60"/>
      <c r="E229" s="77"/>
      <c r="F229" s="69"/>
      <c r="G229" s="59"/>
      <c r="H229" s="58"/>
      <c r="I229" s="58"/>
      <c r="J229" s="58"/>
      <c r="K229" s="62"/>
      <c r="L229" s="62"/>
      <c r="M229" s="62"/>
      <c r="N229" s="70"/>
      <c r="O229" s="71"/>
      <c r="P229" s="64"/>
      <c r="Q229" s="72"/>
      <c r="S229" s="66"/>
      <c r="T229" s="66"/>
    </row>
    <row r="230" spans="1:20" ht="15.6">
      <c r="A230" s="57">
        <v>232</v>
      </c>
      <c r="B230" s="59"/>
      <c r="C230" s="59"/>
      <c r="D230" s="60"/>
      <c r="E230" s="77"/>
      <c r="F230" s="69"/>
      <c r="G230" s="59"/>
      <c r="H230" s="58"/>
      <c r="I230" s="58"/>
      <c r="J230" s="58"/>
      <c r="K230" s="62"/>
      <c r="L230" s="62"/>
      <c r="M230" s="62"/>
      <c r="N230" s="70"/>
      <c r="O230" s="71"/>
      <c r="P230" s="64"/>
      <c r="Q230" s="72"/>
      <c r="S230" s="66"/>
      <c r="T230" s="66"/>
    </row>
    <row r="231" spans="1:20" ht="15.6">
      <c r="A231" s="57">
        <v>233</v>
      </c>
      <c r="B231" s="59"/>
      <c r="C231" s="59"/>
      <c r="D231" s="60"/>
      <c r="E231" s="77"/>
      <c r="F231" s="69"/>
      <c r="G231" s="59"/>
      <c r="H231" s="58"/>
      <c r="I231" s="58"/>
      <c r="J231" s="58"/>
      <c r="K231" s="62"/>
      <c r="L231" s="62"/>
      <c r="M231" s="62"/>
      <c r="N231" s="70"/>
      <c r="O231" s="71"/>
      <c r="P231" s="64"/>
      <c r="Q231" s="72"/>
      <c r="S231" s="66"/>
      <c r="T231" s="66"/>
    </row>
    <row r="232" spans="1:20" ht="15.6">
      <c r="A232" s="57">
        <v>234</v>
      </c>
      <c r="B232" s="59"/>
      <c r="C232" s="59"/>
      <c r="D232" s="60"/>
      <c r="E232" s="77"/>
      <c r="F232" s="69"/>
      <c r="G232" s="59"/>
      <c r="H232" s="58"/>
      <c r="I232" s="58"/>
      <c r="J232" s="58"/>
      <c r="K232" s="62"/>
      <c r="L232" s="62"/>
      <c r="M232" s="62"/>
      <c r="N232" s="70"/>
      <c r="O232" s="71"/>
      <c r="P232" s="64"/>
      <c r="Q232" s="72"/>
      <c r="S232" s="66"/>
      <c r="T232" s="66"/>
    </row>
    <row r="233" spans="1:20" ht="15.6">
      <c r="A233" s="57">
        <v>235</v>
      </c>
      <c r="B233" s="59"/>
      <c r="C233" s="59"/>
      <c r="D233" s="60"/>
      <c r="E233" s="77"/>
      <c r="F233" s="69"/>
      <c r="G233" s="59"/>
      <c r="H233" s="58"/>
      <c r="I233" s="58"/>
      <c r="J233" s="58"/>
      <c r="K233" s="62"/>
      <c r="L233" s="62"/>
      <c r="M233" s="62"/>
      <c r="N233" s="70"/>
      <c r="O233" s="71"/>
      <c r="P233" s="64"/>
      <c r="Q233" s="72"/>
      <c r="S233" s="66"/>
      <c r="T233" s="66"/>
    </row>
    <row r="234" spans="1:20" ht="15.6">
      <c r="A234" s="57">
        <v>236</v>
      </c>
      <c r="B234" s="59"/>
      <c r="C234" s="59"/>
      <c r="D234" s="60"/>
      <c r="E234" s="77"/>
      <c r="F234" s="69"/>
      <c r="G234" s="59"/>
      <c r="H234" s="58"/>
      <c r="I234" s="58"/>
      <c r="J234" s="58"/>
      <c r="K234" s="62"/>
      <c r="L234" s="62"/>
      <c r="M234" s="62"/>
      <c r="N234" s="70"/>
      <c r="O234" s="71"/>
      <c r="P234" s="64"/>
      <c r="Q234" s="72"/>
      <c r="S234" s="66"/>
      <c r="T234" s="66"/>
    </row>
    <row r="235" spans="1:20" ht="15.6">
      <c r="A235" s="57">
        <v>237</v>
      </c>
      <c r="B235" s="59"/>
      <c r="C235" s="59"/>
      <c r="D235" s="60"/>
      <c r="E235" s="77"/>
      <c r="F235" s="69"/>
      <c r="G235" s="59"/>
      <c r="H235" s="58"/>
      <c r="I235" s="58"/>
      <c r="J235" s="58"/>
      <c r="K235" s="62"/>
      <c r="L235" s="62"/>
      <c r="M235" s="62"/>
      <c r="N235" s="70"/>
      <c r="O235" s="71"/>
      <c r="P235" s="64"/>
      <c r="Q235" s="72"/>
      <c r="S235" s="66"/>
      <c r="T235" s="66"/>
    </row>
    <row r="236" spans="1:20" ht="15.6">
      <c r="A236" s="57">
        <v>238</v>
      </c>
      <c r="B236" s="59"/>
      <c r="C236" s="59"/>
      <c r="D236" s="60"/>
      <c r="E236" s="77"/>
      <c r="F236" s="69"/>
      <c r="G236" s="59"/>
      <c r="H236" s="58"/>
      <c r="I236" s="58"/>
      <c r="J236" s="58"/>
      <c r="K236" s="62"/>
      <c r="L236" s="62"/>
      <c r="M236" s="62"/>
      <c r="N236" s="70"/>
      <c r="O236" s="71"/>
      <c r="P236" s="64"/>
      <c r="Q236" s="72"/>
      <c r="S236" s="66"/>
      <c r="T236" s="66"/>
    </row>
    <row r="237" spans="1:20" ht="15.6">
      <c r="A237" s="57">
        <v>239</v>
      </c>
      <c r="B237" s="59"/>
      <c r="C237" s="59"/>
      <c r="D237" s="60"/>
      <c r="E237" s="77"/>
      <c r="F237" s="69"/>
      <c r="G237" s="59"/>
      <c r="H237" s="58"/>
      <c r="I237" s="58"/>
      <c r="J237" s="58"/>
      <c r="K237" s="62"/>
      <c r="L237" s="62"/>
      <c r="M237" s="62"/>
      <c r="N237" s="70"/>
      <c r="O237" s="71"/>
      <c r="P237" s="64"/>
      <c r="Q237" s="72"/>
      <c r="S237" s="66"/>
      <c r="T237" s="66"/>
    </row>
    <row r="238" spans="1:20" ht="15.6">
      <c r="A238" s="57">
        <v>240</v>
      </c>
      <c r="B238" s="59"/>
      <c r="C238" s="59"/>
      <c r="D238" s="60"/>
      <c r="E238" s="77"/>
      <c r="F238" s="69"/>
      <c r="G238" s="59"/>
      <c r="H238" s="58"/>
      <c r="I238" s="58"/>
      <c r="J238" s="58"/>
      <c r="K238" s="62"/>
      <c r="L238" s="62"/>
      <c r="M238" s="62"/>
      <c r="N238" s="70"/>
      <c r="O238" s="71"/>
      <c r="P238" s="64"/>
      <c r="Q238" s="72"/>
      <c r="S238" s="66"/>
      <c r="T238" s="66"/>
    </row>
    <row r="239" spans="1:20" ht="15.6">
      <c r="A239" s="57">
        <v>241</v>
      </c>
      <c r="B239" s="59"/>
      <c r="C239" s="59"/>
      <c r="D239" s="60"/>
      <c r="E239" s="77"/>
      <c r="F239" s="69"/>
      <c r="G239" s="59"/>
      <c r="H239" s="58"/>
      <c r="I239" s="58"/>
      <c r="J239" s="58"/>
      <c r="K239" s="62"/>
      <c r="L239" s="62"/>
      <c r="M239" s="62"/>
      <c r="N239" s="70"/>
      <c r="O239" s="71"/>
      <c r="P239" s="64"/>
      <c r="Q239" s="72"/>
      <c r="S239" s="66"/>
      <c r="T239" s="66"/>
    </row>
    <row r="240" spans="1:20" ht="15.6">
      <c r="A240" s="57">
        <v>242</v>
      </c>
      <c r="B240" s="59"/>
      <c r="C240" s="59"/>
      <c r="D240" s="60"/>
      <c r="E240" s="77"/>
      <c r="F240" s="69"/>
      <c r="G240" s="59"/>
      <c r="H240" s="58"/>
      <c r="I240" s="58"/>
      <c r="J240" s="58"/>
      <c r="K240" s="62"/>
      <c r="L240" s="62"/>
      <c r="M240" s="62"/>
      <c r="N240" s="70"/>
      <c r="O240" s="71"/>
      <c r="P240" s="64"/>
      <c r="Q240" s="72"/>
      <c r="S240" s="66"/>
      <c r="T240" s="66"/>
    </row>
    <row r="241" spans="1:20" ht="15.6">
      <c r="A241" s="57">
        <v>243</v>
      </c>
      <c r="B241" s="59"/>
      <c r="C241" s="59"/>
      <c r="D241" s="60"/>
      <c r="E241" s="77"/>
      <c r="F241" s="69"/>
      <c r="G241" s="59"/>
      <c r="H241" s="58"/>
      <c r="I241" s="58"/>
      <c r="J241" s="58"/>
      <c r="K241" s="62"/>
      <c r="L241" s="62"/>
      <c r="M241" s="62"/>
      <c r="N241" s="70"/>
      <c r="O241" s="71"/>
      <c r="P241" s="64"/>
      <c r="Q241" s="72"/>
      <c r="S241" s="66"/>
      <c r="T241" s="66"/>
    </row>
    <row r="242" spans="1:20" ht="15.6">
      <c r="A242" s="57">
        <v>244</v>
      </c>
      <c r="B242" s="59"/>
      <c r="C242" s="59"/>
      <c r="D242" s="60"/>
      <c r="E242" s="77"/>
      <c r="F242" s="69"/>
      <c r="G242" s="59"/>
      <c r="H242" s="58"/>
      <c r="I242" s="58"/>
      <c r="J242" s="58"/>
      <c r="K242" s="62"/>
      <c r="L242" s="62"/>
      <c r="M242" s="62"/>
      <c r="N242" s="70"/>
      <c r="O242" s="71"/>
      <c r="P242" s="64"/>
      <c r="Q242" s="72"/>
      <c r="S242" s="66"/>
      <c r="T242" s="66"/>
    </row>
  </sheetData>
  <mergeCells count="3">
    <mergeCell ref="B2:D2"/>
    <mergeCell ref="E2:N2"/>
    <mergeCell ref="P2:Q2"/>
  </mergeCells>
  <dataValidations count="3">
    <dataValidation type="list" allowBlank="1" showInputMessage="1" showErrorMessage="1" sqref="K5:K242" xr:uid="{00000000-0002-0000-0100-000000000000}">
      <formula1>"Strictly Confidential,Confidential,Business use only,Public"</formula1>
      <formula2>0</formula2>
    </dataValidation>
    <dataValidation type="list" allowBlank="1" showInputMessage="1" showErrorMessage="1" sqref="L5:M242" xr:uid="{00000000-0002-0000-0100-000002000000}">
      <formula1>"High,Medium,Low"</formula1>
      <formula2>0</formula2>
    </dataValidation>
    <dataValidation type="list" allowBlank="1" showInputMessage="1" showErrorMessage="1" sqref="H4:J242" xr:uid="{0FE793B4-FA01-44E9-B99C-C5BB0806A859}">
      <formula1>"S,N"</formula1>
    </dataValidation>
  </dataValidations>
  <printOptions horizontalCentered="1" verticalCentered="1"/>
  <pageMargins left="0.39374999999999999" right="0.70833333333333304" top="0.74791666666666701" bottom="0.74861111111111101" header="0.511811023622047" footer="0.31527777777777799"/>
  <pageSetup paperSize="8" scale="44" orientation="landscape" horizontalDpi="300" verticalDpi="300"/>
  <headerFooter>
    <oddFooter>&amp;CConfidential</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MJ4"/>
  <sheetViews>
    <sheetView showGridLines="0" zoomScale="70" zoomScaleNormal="70" workbookViewId="0">
      <pane ySplit="4" topLeftCell="A5" activePane="bottomLeft" state="frozen"/>
      <selection pane="bottomLeft" activeCell="E32" sqref="E32"/>
    </sheetView>
  </sheetViews>
  <sheetFormatPr defaultColWidth="9.109375" defaultRowHeight="14.4"/>
  <cols>
    <col min="1" max="1" width="11.44140625" style="78" customWidth="1"/>
    <col min="2" max="4" width="26" style="78" customWidth="1"/>
    <col min="5" max="5" width="30.6640625" style="79" customWidth="1"/>
    <col min="6" max="6" width="30.6640625" style="80" customWidth="1"/>
    <col min="7" max="7" width="38.44140625" style="78" customWidth="1"/>
    <col min="8" max="9" width="15.5546875" style="81" customWidth="1"/>
    <col min="10" max="10" width="15.5546875" style="78" customWidth="1"/>
    <col min="11" max="13" width="25.6640625" style="78" customWidth="1"/>
    <col min="14" max="14" width="28.44140625" style="78" customWidth="1"/>
    <col min="15" max="15" width="28.44140625" style="80" customWidth="1"/>
    <col min="16" max="17" width="38.109375" style="78" customWidth="1"/>
    <col min="18" max="18" width="3" style="78" customWidth="1"/>
    <col min="19" max="19" width="51.44140625" style="78" customWidth="1"/>
    <col min="20" max="20" width="42.109375" style="78" customWidth="1"/>
    <col min="21" max="21" width="1.44140625" style="78" customWidth="1"/>
    <col min="22" max="1024" width="9.109375" style="78" hidden="1"/>
  </cols>
  <sheetData>
    <row r="1" spans="1:34" s="82" customFormat="1" ht="104.25" customHeight="1">
      <c r="A1" s="186" t="s">
        <v>61</v>
      </c>
      <c r="B1" s="186"/>
      <c r="C1" s="186"/>
      <c r="D1" s="186"/>
      <c r="E1" s="186"/>
      <c r="F1" s="186"/>
      <c r="G1" s="186"/>
      <c r="H1" s="186"/>
      <c r="I1" s="186"/>
      <c r="J1" s="186"/>
      <c r="K1" s="186"/>
      <c r="L1" s="186"/>
      <c r="M1" s="186"/>
      <c r="N1" s="186"/>
      <c r="O1" s="186"/>
      <c r="P1" s="186"/>
      <c r="Q1" s="186"/>
      <c r="R1" s="186"/>
      <c r="S1" s="186"/>
      <c r="T1" s="186"/>
    </row>
    <row r="2" spans="1:34" ht="16.5" customHeight="1">
      <c r="A2" s="30"/>
      <c r="B2" s="187" t="s">
        <v>22</v>
      </c>
      <c r="C2" s="187"/>
      <c r="D2" s="187"/>
      <c r="E2" s="188" t="s">
        <v>23</v>
      </c>
      <c r="F2" s="188"/>
      <c r="G2" s="188"/>
      <c r="H2" s="188"/>
      <c r="I2" s="188"/>
      <c r="J2" s="188"/>
      <c r="K2" s="188"/>
      <c r="L2" s="188"/>
      <c r="M2" s="188"/>
      <c r="N2" s="188"/>
      <c r="O2" s="83"/>
      <c r="P2" s="189" t="s">
        <v>62</v>
      </c>
      <c r="Q2" s="189"/>
      <c r="R2" s="32"/>
      <c r="S2" s="84" t="s">
        <v>259</v>
      </c>
      <c r="T2" s="85" t="s">
        <v>260</v>
      </c>
      <c r="U2" s="86"/>
      <c r="X2" s="35"/>
      <c r="Y2" s="35"/>
      <c r="Z2" s="35"/>
      <c r="AA2" s="35"/>
      <c r="AB2" s="35"/>
      <c r="AC2" s="35"/>
      <c r="AD2" s="35"/>
      <c r="AE2" s="35"/>
      <c r="AF2" s="35"/>
      <c r="AG2" s="35"/>
      <c r="AH2" s="35"/>
    </row>
    <row r="3" spans="1:34" ht="102.6" customHeight="1">
      <c r="A3" s="87" t="s">
        <v>27</v>
      </c>
      <c r="B3" s="88" t="s">
        <v>63</v>
      </c>
      <c r="C3" s="89" t="s">
        <v>64</v>
      </c>
      <c r="D3" s="90" t="s">
        <v>65</v>
      </c>
      <c r="E3" s="88" t="s">
        <v>66</v>
      </c>
      <c r="F3" s="91" t="s">
        <v>67</v>
      </c>
      <c r="G3" s="91" t="s">
        <v>68</v>
      </c>
      <c r="H3" s="91" t="s">
        <v>69</v>
      </c>
      <c r="I3" s="91" t="s">
        <v>70</v>
      </c>
      <c r="J3" s="91" t="s">
        <v>71</v>
      </c>
      <c r="K3" s="92" t="s">
        <v>72</v>
      </c>
      <c r="L3" s="92" t="s">
        <v>73</v>
      </c>
      <c r="M3" s="92" t="s">
        <v>74</v>
      </c>
      <c r="N3" s="93" t="s">
        <v>258</v>
      </c>
      <c r="O3" s="36" t="s">
        <v>75</v>
      </c>
      <c r="P3" s="38" t="s">
        <v>76</v>
      </c>
      <c r="Q3" s="39" t="s">
        <v>77</v>
      </c>
      <c r="R3" s="32"/>
      <c r="S3" s="40" t="s">
        <v>78</v>
      </c>
      <c r="T3" s="40" t="s">
        <v>261</v>
      </c>
      <c r="U3" s="94"/>
      <c r="X3" s="41"/>
      <c r="Y3" s="41"/>
      <c r="Z3" s="41"/>
      <c r="AA3" s="41"/>
      <c r="AB3" s="41"/>
      <c r="AC3" s="41"/>
      <c r="AD3" s="41"/>
      <c r="AE3" s="41"/>
      <c r="AF3" s="41"/>
      <c r="AG3" s="41"/>
      <c r="AH3" s="41"/>
    </row>
    <row r="4" spans="1:34" s="82" customFormat="1" ht="43.5" customHeight="1">
      <c r="A4" s="95">
        <v>1</v>
      </c>
      <c r="B4" s="96" t="s">
        <v>79</v>
      </c>
      <c r="C4" s="96"/>
      <c r="D4" s="96"/>
      <c r="E4" s="97"/>
      <c r="F4" s="96"/>
      <c r="G4" s="96"/>
      <c r="H4" s="98"/>
      <c r="I4" s="98"/>
      <c r="J4" s="98"/>
      <c r="K4" s="99"/>
      <c r="L4" s="99"/>
      <c r="M4" s="99"/>
      <c r="N4" s="99"/>
      <c r="O4" s="99"/>
      <c r="P4" s="96"/>
      <c r="Q4" s="96"/>
    </row>
  </sheetData>
  <mergeCells count="4">
    <mergeCell ref="A1:T1"/>
    <mergeCell ref="B2:D2"/>
    <mergeCell ref="E2:N2"/>
    <mergeCell ref="P2:Q2"/>
  </mergeCells>
  <pageMargins left="0.74791666666666701" right="0.74791666666666701" top="0.98402777777777795" bottom="0.74791666666666701" header="0.511811023622047" footer="0.51180555555555596"/>
  <pageSetup orientation="landscape" horizontalDpi="300" verticalDpi="300" r:id="rId1"/>
  <headerFooter>
    <oddFooter>&amp;L&amp;D&amp;CConfidential&amp;R&amp;A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shape_0">
              <controlPr defaultSize="0" autoPict="0">
                <anchor moveWithCells="1" sizeWithCells="1">
                  <from>
                    <xdr:col>0</xdr:col>
                    <xdr:colOff>7620</xdr:colOff>
                    <xdr:row>3</xdr:row>
                    <xdr:rowOff>7620</xdr:rowOff>
                  </from>
                  <to>
                    <xdr:col>1</xdr:col>
                    <xdr:colOff>845820</xdr:colOff>
                    <xdr:row>4</xdr:row>
                    <xdr:rowOff>167640</xdr:rowOff>
                  </to>
                </anchor>
              </controlPr>
            </control>
          </mc:Choice>
        </mc:AlternateContent>
        <mc:AlternateContent xmlns:mc="http://schemas.openxmlformats.org/markup-compatibility/2006">
          <mc:Choice Requires="x14">
            <control shapeId="3074" r:id="rId5" name="Summary_Button">
              <controlPr defaultSize="0" autoFill="0" autoPict="0" altText="Generate Gap Analysis">
                <anchor moveWithCells="1">
                  <from>
                    <xdr:col>0</xdr:col>
                    <xdr:colOff>7620</xdr:colOff>
                    <xdr:row>3</xdr:row>
                    <xdr:rowOff>7620</xdr:rowOff>
                  </from>
                  <to>
                    <xdr:col>1</xdr:col>
                    <xdr:colOff>1059180</xdr:colOff>
                    <xdr:row>5</xdr:row>
                    <xdr:rowOff>0</xdr:rowOff>
                  </to>
                </anchor>
              </controlPr>
            </control>
          </mc:Choice>
        </mc:AlternateContent>
        <mc:AlternateContent xmlns:mc="http://schemas.openxmlformats.org/markup-compatibility/2006">
          <mc:Choice Requires="x14">
            <control shapeId="3075" r:id="rId6" name="Button 3">
              <controlPr defaultSize="0" autoFill="0" autoPict="0" altText="Generate Gap Analysis">
                <anchor moveWithCells="1">
                  <from>
                    <xdr:col>0</xdr:col>
                    <xdr:colOff>7620</xdr:colOff>
                    <xdr:row>3</xdr:row>
                    <xdr:rowOff>7620</xdr:rowOff>
                  </from>
                  <to>
                    <xdr:col>1</xdr:col>
                    <xdr:colOff>1059180</xdr:colOff>
                    <xdr:row>3</xdr:row>
                    <xdr:rowOff>335280</xdr:rowOff>
                  </to>
                </anchor>
              </controlPr>
            </control>
          </mc:Choice>
        </mc:AlternateContent>
        <mc:AlternateContent xmlns:mc="http://schemas.openxmlformats.org/markup-compatibility/2006">
          <mc:Choice Requires="x14">
            <control shapeId="3076" r:id="rId7" name="Button 4">
              <controlPr defaultSize="0" autoFill="0" autoPict="0" altText="Generate Gap Analysis">
                <anchor moveWithCells="1">
                  <from>
                    <xdr:col>0</xdr:col>
                    <xdr:colOff>7620</xdr:colOff>
                    <xdr:row>3</xdr:row>
                    <xdr:rowOff>7620</xdr:rowOff>
                  </from>
                  <to>
                    <xdr:col>1</xdr:col>
                    <xdr:colOff>1059180</xdr:colOff>
                    <xdr:row>3</xdr:row>
                    <xdr:rowOff>335280</xdr:rowOff>
                  </to>
                </anchor>
              </controlPr>
            </control>
          </mc:Choice>
        </mc:AlternateContent>
        <mc:AlternateContent xmlns:mc="http://schemas.openxmlformats.org/markup-compatibility/2006">
          <mc:Choice Requires="x14">
            <control shapeId="1001" r:id="rId8" name="Button -23">
              <controlPr defaultSize="0" autoFill="0" autoPict="0" altText="Generate Gap Analysis">
                <anchor moveWithCells="1">
                  <from>
                    <xdr:col>0</xdr:col>
                    <xdr:colOff>7620</xdr:colOff>
                    <xdr:row>3</xdr:row>
                    <xdr:rowOff>7620</xdr:rowOff>
                  </from>
                  <to>
                    <xdr:col>1</xdr:col>
                    <xdr:colOff>1059180</xdr:colOff>
                    <xdr:row>3</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J64"/>
  <sheetViews>
    <sheetView tabSelected="1" topLeftCell="A39" zoomScale="85" zoomScaleNormal="85" zoomScalePageLayoutView="55" workbookViewId="0"/>
  </sheetViews>
  <sheetFormatPr defaultColWidth="9.109375" defaultRowHeight="14.4"/>
  <cols>
    <col min="1" max="1" width="2.88671875" style="100" customWidth="1"/>
    <col min="2" max="3" width="9.109375" style="100"/>
    <col min="4" max="4" width="13" style="100" customWidth="1"/>
    <col min="5" max="8" width="9.109375" style="100"/>
    <col min="9" max="9" width="12.21875" style="100" customWidth="1"/>
    <col min="10" max="11" width="9.109375" style="100"/>
    <col min="12" max="12" width="17.21875" style="100" customWidth="1"/>
    <col min="13" max="15" width="9.109375" style="100"/>
    <col min="16" max="16" width="47" style="100" customWidth="1"/>
    <col min="17" max="17" width="2.21875" style="100" customWidth="1"/>
    <col min="18" max="18" width="9.109375" style="100"/>
    <col min="19" max="19" width="36.44140625" style="100" customWidth="1"/>
    <col min="20" max="20" width="3.44140625" style="100" customWidth="1"/>
    <col min="21" max="26" width="9.109375" style="101" hidden="1"/>
    <col min="27" max="1024" width="9.109375" style="100" hidden="1"/>
  </cols>
  <sheetData>
    <row r="1" spans="1:29" ht="42" customHeight="1">
      <c r="A1" s="101"/>
      <c r="B1" s="204" t="s">
        <v>223</v>
      </c>
      <c r="C1" s="204"/>
      <c r="D1" s="204"/>
      <c r="E1" s="204"/>
      <c r="F1" s="204"/>
      <c r="G1" s="204"/>
      <c r="H1" s="204"/>
      <c r="I1" s="204"/>
      <c r="J1" s="204"/>
      <c r="K1" s="204"/>
      <c r="L1" s="204"/>
      <c r="M1" s="204"/>
      <c r="N1" s="204"/>
      <c r="O1" s="204"/>
      <c r="P1" s="204"/>
      <c r="Q1" s="204"/>
      <c r="R1" s="204"/>
      <c r="S1" s="204"/>
      <c r="T1" s="204"/>
      <c r="Z1" s="100"/>
    </row>
    <row r="2" spans="1:29" ht="26.25" customHeight="1">
      <c r="A2" s="101"/>
      <c r="B2" s="242" t="s">
        <v>80</v>
      </c>
      <c r="C2" s="242"/>
      <c r="D2" s="242"/>
      <c r="E2" s="242"/>
      <c r="F2" s="242"/>
      <c r="G2" s="242"/>
      <c r="H2" s="242"/>
      <c r="I2" s="242"/>
      <c r="J2" s="242"/>
      <c r="K2" s="242"/>
      <c r="L2" s="242"/>
      <c r="M2" s="242"/>
      <c r="N2" s="242"/>
      <c r="O2" s="242"/>
      <c r="P2" s="242"/>
      <c r="Q2" s="101"/>
      <c r="R2" s="101"/>
      <c r="S2" s="101"/>
      <c r="T2" s="101"/>
      <c r="AA2" s="101"/>
      <c r="AB2" s="101"/>
      <c r="AC2" s="101"/>
    </row>
    <row r="3" spans="1:29" ht="27.75" customHeight="1">
      <c r="A3" s="101"/>
      <c r="B3" s="243" t="s">
        <v>81</v>
      </c>
      <c r="C3" s="243"/>
      <c r="D3" s="243"/>
      <c r="E3" s="243"/>
      <c r="F3" s="243"/>
      <c r="G3" s="244" t="s">
        <v>82</v>
      </c>
      <c r="H3" s="244"/>
      <c r="I3" s="244"/>
      <c r="J3" s="244"/>
      <c r="K3" s="244"/>
      <c r="L3" s="244"/>
      <c r="M3" s="244"/>
      <c r="N3" s="244"/>
      <c r="O3" s="244"/>
      <c r="P3" s="244"/>
      <c r="Q3" s="101"/>
      <c r="R3" s="101"/>
      <c r="S3" s="101"/>
      <c r="T3" s="101"/>
      <c r="AA3" s="101"/>
      <c r="AB3" s="101"/>
      <c r="AC3" s="101"/>
    </row>
    <row r="4" spans="1:29" ht="24" customHeight="1">
      <c r="A4" s="101"/>
      <c r="B4" s="245" t="s">
        <v>83</v>
      </c>
      <c r="C4" s="245"/>
      <c r="D4" s="245"/>
      <c r="E4" s="245"/>
      <c r="F4" s="245"/>
      <c r="G4" s="246" t="s">
        <v>84</v>
      </c>
      <c r="H4" s="246"/>
      <c r="I4" s="246"/>
      <c r="J4" s="246"/>
      <c r="K4" s="246"/>
      <c r="L4" s="246"/>
      <c r="M4" s="246"/>
      <c r="N4" s="246"/>
      <c r="O4" s="246"/>
      <c r="P4" s="246"/>
      <c r="Q4" s="101"/>
      <c r="R4" s="101"/>
      <c r="S4" s="101"/>
      <c r="T4" s="101"/>
      <c r="AA4" s="101"/>
      <c r="AB4" s="101"/>
      <c r="AC4" s="101"/>
    </row>
    <row r="5" spans="1:29" ht="21.75" customHeight="1">
      <c r="A5" s="101"/>
      <c r="B5" s="247" t="s">
        <v>85</v>
      </c>
      <c r="C5" s="247"/>
      <c r="D5" s="247"/>
      <c r="E5" s="247"/>
      <c r="F5" s="247"/>
      <c r="G5" s="248" t="s">
        <v>86</v>
      </c>
      <c r="H5" s="248"/>
      <c r="I5" s="248"/>
      <c r="J5" s="248"/>
      <c r="K5" s="248"/>
      <c r="L5" s="248"/>
      <c r="M5" s="248"/>
      <c r="N5" s="248"/>
      <c r="O5" s="248"/>
      <c r="P5" s="248"/>
      <c r="Q5" s="101"/>
      <c r="R5" s="101"/>
      <c r="S5" s="101"/>
      <c r="T5" s="101"/>
      <c r="AA5" s="101"/>
      <c r="AB5" s="101"/>
      <c r="AC5" s="101"/>
    </row>
    <row r="6" spans="1:29" ht="22.5" customHeight="1">
      <c r="A6" s="101"/>
      <c r="B6" s="238" t="s">
        <v>87</v>
      </c>
      <c r="C6" s="238"/>
      <c r="D6" s="238"/>
      <c r="E6" s="238"/>
      <c r="F6" s="238"/>
      <c r="G6" s="239" t="s">
        <v>232</v>
      </c>
      <c r="H6" s="239"/>
      <c r="I6" s="239"/>
      <c r="J6" s="239"/>
      <c r="K6" s="239"/>
      <c r="L6" s="239"/>
      <c r="M6" s="239"/>
      <c r="N6" s="239"/>
      <c r="O6" s="239"/>
      <c r="P6" s="239"/>
      <c r="Q6" s="101"/>
      <c r="R6" s="101"/>
      <c r="S6" s="101"/>
      <c r="T6" s="101"/>
      <c r="AA6" s="101"/>
      <c r="AB6" s="101"/>
      <c r="AC6" s="101"/>
    </row>
    <row r="7" spans="1:29" ht="22.5" customHeight="1">
      <c r="A7" s="101"/>
      <c r="B7" s="238" t="s">
        <v>88</v>
      </c>
      <c r="C7" s="238"/>
      <c r="D7" s="238"/>
      <c r="E7" s="238"/>
      <c r="F7" s="238"/>
      <c r="G7" s="239" t="s">
        <v>89</v>
      </c>
      <c r="H7" s="239"/>
      <c r="I7" s="239"/>
      <c r="J7" s="239"/>
      <c r="K7" s="239"/>
      <c r="L7" s="239"/>
      <c r="M7" s="239"/>
      <c r="N7" s="239"/>
      <c r="O7" s="239"/>
      <c r="P7" s="239"/>
      <c r="Q7" s="101"/>
      <c r="R7" s="101"/>
      <c r="S7" s="101"/>
      <c r="T7" s="101"/>
      <c r="AA7" s="101"/>
      <c r="AB7" s="101"/>
      <c r="AC7" s="101"/>
    </row>
    <row r="8" spans="1:29" ht="23.25" customHeight="1">
      <c r="A8" s="101"/>
      <c r="B8" s="238" t="s">
        <v>90</v>
      </c>
      <c r="C8" s="238"/>
      <c r="D8" s="238"/>
      <c r="E8" s="238"/>
      <c r="F8" s="238"/>
      <c r="G8" s="239" t="s">
        <v>91</v>
      </c>
      <c r="H8" s="239"/>
      <c r="I8" s="239"/>
      <c r="J8" s="239"/>
      <c r="K8" s="239"/>
      <c r="L8" s="239"/>
      <c r="M8" s="239"/>
      <c r="N8" s="239"/>
      <c r="O8" s="239"/>
      <c r="P8" s="239"/>
      <c r="Q8" s="101"/>
      <c r="R8" s="101"/>
      <c r="S8" s="101"/>
      <c r="T8" s="101"/>
      <c r="AA8" s="101"/>
      <c r="AB8" s="101"/>
      <c r="AC8" s="101"/>
    </row>
    <row r="9" spans="1:29" ht="22.5" customHeight="1">
      <c r="A9" s="101"/>
      <c r="B9" s="238" t="s">
        <v>233</v>
      </c>
      <c r="C9" s="238"/>
      <c r="D9" s="238"/>
      <c r="E9" s="238"/>
      <c r="F9" s="238"/>
      <c r="G9" s="239" t="s">
        <v>92</v>
      </c>
      <c r="H9" s="239"/>
      <c r="I9" s="239"/>
      <c r="J9" s="239"/>
      <c r="K9" s="239"/>
      <c r="L9" s="239"/>
      <c r="M9" s="239"/>
      <c r="N9" s="239"/>
      <c r="O9" s="239"/>
      <c r="P9" s="239"/>
      <c r="Q9" s="101"/>
      <c r="R9" s="101"/>
      <c r="S9" s="101"/>
      <c r="T9" s="101"/>
      <c r="AA9" s="101"/>
      <c r="AB9" s="101"/>
      <c r="AC9" s="101"/>
    </row>
    <row r="10" spans="1:29" ht="24" customHeight="1">
      <c r="A10" s="101"/>
      <c r="B10" s="238" t="s">
        <v>93</v>
      </c>
      <c r="C10" s="238"/>
      <c r="D10" s="238"/>
      <c r="E10" s="238"/>
      <c r="F10" s="238"/>
      <c r="G10" s="239" t="s">
        <v>234</v>
      </c>
      <c r="H10" s="239"/>
      <c r="I10" s="239"/>
      <c r="J10" s="239"/>
      <c r="K10" s="239"/>
      <c r="L10" s="239"/>
      <c r="M10" s="239"/>
      <c r="N10" s="239"/>
      <c r="O10" s="239"/>
      <c r="P10" s="239"/>
      <c r="Q10" s="101"/>
      <c r="R10" s="101"/>
      <c r="S10" s="101"/>
      <c r="T10" s="101"/>
      <c r="AA10" s="101"/>
      <c r="AB10" s="101"/>
      <c r="AC10" s="101"/>
    </row>
    <row r="11" spans="1:29" ht="19.5" customHeight="1">
      <c r="A11" s="101"/>
      <c r="B11" s="238" t="s">
        <v>94</v>
      </c>
      <c r="C11" s="238"/>
      <c r="D11" s="238"/>
      <c r="E11" s="238"/>
      <c r="F11" s="238"/>
      <c r="G11" s="239" t="s">
        <v>95</v>
      </c>
      <c r="H11" s="239"/>
      <c r="I11" s="239"/>
      <c r="J11" s="239"/>
      <c r="K11" s="239"/>
      <c r="L11" s="239"/>
      <c r="M11" s="239"/>
      <c r="N11" s="239"/>
      <c r="O11" s="239"/>
      <c r="P11" s="239"/>
      <c r="Q11" s="101"/>
      <c r="R11" s="101"/>
      <c r="S11" s="101"/>
      <c r="T11" s="101"/>
      <c r="AA11" s="101"/>
      <c r="AB11" s="101"/>
      <c r="AC11" s="101"/>
    </row>
    <row r="12" spans="1:29" ht="22.5" customHeight="1">
      <c r="A12" s="101"/>
      <c r="B12" s="238" t="s">
        <v>96</v>
      </c>
      <c r="C12" s="238"/>
      <c r="D12" s="238"/>
      <c r="E12" s="238"/>
      <c r="F12" s="238"/>
      <c r="G12" s="239" t="s">
        <v>235</v>
      </c>
      <c r="H12" s="239"/>
      <c r="I12" s="239"/>
      <c r="J12" s="239"/>
      <c r="K12" s="239"/>
      <c r="L12" s="239"/>
      <c r="M12" s="239"/>
      <c r="N12" s="239"/>
      <c r="O12" s="239"/>
      <c r="P12" s="239"/>
      <c r="Q12" s="101"/>
      <c r="R12" s="101"/>
      <c r="S12" s="101"/>
      <c r="T12" s="101"/>
      <c r="AA12" s="101"/>
      <c r="AB12" s="101"/>
      <c r="AC12" s="101"/>
    </row>
    <row r="13" spans="1:29" ht="23.25" customHeight="1">
      <c r="A13" s="101"/>
      <c r="B13" s="238" t="s">
        <v>97</v>
      </c>
      <c r="C13" s="238"/>
      <c r="D13" s="238"/>
      <c r="E13" s="238"/>
      <c r="F13" s="238"/>
      <c r="G13" s="239" t="s">
        <v>98</v>
      </c>
      <c r="H13" s="239"/>
      <c r="I13" s="239"/>
      <c r="J13" s="239"/>
      <c r="K13" s="239"/>
      <c r="L13" s="239"/>
      <c r="M13" s="239"/>
      <c r="N13" s="239"/>
      <c r="O13" s="239"/>
      <c r="P13" s="239"/>
      <c r="Q13" s="101"/>
      <c r="R13" s="101"/>
      <c r="S13" s="101"/>
      <c r="T13" s="101"/>
      <c r="AA13" s="101"/>
      <c r="AB13" s="101"/>
      <c r="AC13" s="101"/>
    </row>
    <row r="14" spans="1:29" ht="27" customHeight="1">
      <c r="A14" s="101"/>
      <c r="B14" s="238" t="s">
        <v>99</v>
      </c>
      <c r="C14" s="238"/>
      <c r="D14" s="238"/>
      <c r="E14" s="238"/>
      <c r="F14" s="238"/>
      <c r="G14" s="239" t="s">
        <v>100</v>
      </c>
      <c r="H14" s="239"/>
      <c r="I14" s="239"/>
      <c r="J14" s="239"/>
      <c r="K14" s="239"/>
      <c r="L14" s="239"/>
      <c r="M14" s="239"/>
      <c r="N14" s="239"/>
      <c r="O14" s="239"/>
      <c r="P14" s="239"/>
      <c r="Q14" s="101"/>
      <c r="R14" s="101"/>
      <c r="S14" s="101"/>
      <c r="T14" s="101"/>
      <c r="AA14" s="101"/>
      <c r="AB14" s="101"/>
      <c r="AC14" s="101"/>
    </row>
    <row r="15" spans="1:29" ht="24" customHeight="1">
      <c r="A15" s="101"/>
      <c r="B15" s="238" t="s">
        <v>101</v>
      </c>
      <c r="C15" s="238"/>
      <c r="D15" s="238"/>
      <c r="E15" s="238"/>
      <c r="F15" s="238"/>
      <c r="G15" s="239" t="s">
        <v>102</v>
      </c>
      <c r="H15" s="239"/>
      <c r="I15" s="239"/>
      <c r="J15" s="239"/>
      <c r="K15" s="239"/>
      <c r="L15" s="239"/>
      <c r="M15" s="239"/>
      <c r="N15" s="239"/>
      <c r="O15" s="239"/>
      <c r="P15" s="239"/>
      <c r="Q15" s="101"/>
      <c r="R15" s="101"/>
      <c r="S15" s="101"/>
      <c r="T15" s="101"/>
      <c r="AA15" s="101"/>
      <c r="AB15" s="101"/>
      <c r="AC15" s="101"/>
    </row>
    <row r="16" spans="1:29" ht="20.25" customHeight="1">
      <c r="A16" s="101"/>
      <c r="B16" s="240" t="s">
        <v>103</v>
      </c>
      <c r="C16" s="240"/>
      <c r="D16" s="240"/>
      <c r="E16" s="240"/>
      <c r="F16" s="240"/>
      <c r="G16" s="241" t="s">
        <v>104</v>
      </c>
      <c r="H16" s="241"/>
      <c r="I16" s="241"/>
      <c r="J16" s="241"/>
      <c r="K16" s="241"/>
      <c r="L16" s="241"/>
      <c r="M16" s="241"/>
      <c r="N16" s="241"/>
      <c r="O16" s="241"/>
      <c r="P16" s="241"/>
      <c r="Q16" s="101"/>
      <c r="R16" s="101"/>
      <c r="S16" s="101"/>
      <c r="T16" s="101"/>
      <c r="AA16" s="101"/>
      <c r="AB16" s="101"/>
      <c r="AC16" s="101"/>
    </row>
    <row r="17" spans="1:29" ht="42.75" customHeight="1">
      <c r="A17" s="101"/>
      <c r="B17" s="204" t="s">
        <v>105</v>
      </c>
      <c r="C17" s="204"/>
      <c r="D17" s="204"/>
      <c r="E17" s="204"/>
      <c r="F17" s="204"/>
      <c r="G17" s="204"/>
      <c r="H17" s="204"/>
      <c r="I17" s="204"/>
      <c r="J17" s="204"/>
      <c r="K17" s="204"/>
      <c r="L17" s="204"/>
      <c r="M17" s="204"/>
      <c r="N17" s="204"/>
      <c r="O17" s="204"/>
      <c r="P17" s="204"/>
      <c r="Q17" s="204"/>
      <c r="R17" s="204"/>
      <c r="S17" s="204"/>
      <c r="T17" s="204"/>
      <c r="AA17" s="101"/>
      <c r="AB17" s="101"/>
      <c r="AC17" s="101"/>
    </row>
    <row r="18" spans="1:29" s="104" customFormat="1" ht="15.6">
      <c r="A18" s="102"/>
      <c r="B18" s="233" t="s">
        <v>37</v>
      </c>
      <c r="C18" s="233"/>
      <c r="D18" s="233"/>
      <c r="E18" s="209" t="s">
        <v>106</v>
      </c>
      <c r="F18" s="209"/>
      <c r="G18" s="209"/>
      <c r="H18" s="209"/>
      <c r="I18" s="209"/>
      <c r="J18" s="209"/>
      <c r="K18" s="209"/>
      <c r="L18" s="209"/>
      <c r="M18" s="209"/>
      <c r="N18" s="209"/>
      <c r="O18" s="209"/>
      <c r="P18" s="209"/>
      <c r="Q18" s="209"/>
      <c r="R18" s="209"/>
      <c r="S18" s="209"/>
      <c r="T18" s="103"/>
      <c r="U18" s="102"/>
      <c r="V18" s="102"/>
      <c r="W18" s="102"/>
      <c r="X18" s="102"/>
      <c r="Y18" s="102"/>
      <c r="Z18" s="102"/>
    </row>
    <row r="19" spans="1:29" s="104" customFormat="1" ht="57" customHeight="1">
      <c r="A19" s="102"/>
      <c r="B19" s="234" t="s">
        <v>107</v>
      </c>
      <c r="C19" s="234"/>
      <c r="D19" s="234"/>
      <c r="E19" s="235" t="s">
        <v>108</v>
      </c>
      <c r="F19" s="235"/>
      <c r="G19" s="235"/>
      <c r="H19" s="235"/>
      <c r="I19" s="235"/>
      <c r="J19" s="236" t="s">
        <v>55</v>
      </c>
      <c r="K19" s="236"/>
      <c r="L19" s="236"/>
      <c r="M19" s="237" t="s">
        <v>109</v>
      </c>
      <c r="N19" s="237"/>
      <c r="O19" s="237"/>
      <c r="P19" s="237"/>
      <c r="Q19" s="237"/>
      <c r="R19" s="236" t="s">
        <v>110</v>
      </c>
      <c r="S19" s="236"/>
      <c r="T19" s="105"/>
      <c r="U19" s="102"/>
      <c r="V19" s="102"/>
      <c r="W19" s="102"/>
      <c r="X19" s="102"/>
      <c r="Y19" s="102"/>
      <c r="Z19" s="102"/>
    </row>
    <row r="20" spans="1:29" ht="54.75" customHeight="1">
      <c r="A20" s="101"/>
      <c r="B20" s="219" t="s">
        <v>236</v>
      </c>
      <c r="C20" s="219"/>
      <c r="D20" s="219"/>
      <c r="E20" s="220" t="s">
        <v>237</v>
      </c>
      <c r="F20" s="220"/>
      <c r="G20" s="220"/>
      <c r="H20" s="220"/>
      <c r="I20" s="220"/>
      <c r="J20" s="220" t="s">
        <v>238</v>
      </c>
      <c r="K20" s="220"/>
      <c r="L20" s="220"/>
      <c r="M20" s="221" t="s">
        <v>239</v>
      </c>
      <c r="N20" s="221"/>
      <c r="O20" s="221"/>
      <c r="P20" s="221"/>
      <c r="Q20" s="221"/>
      <c r="R20" s="218" t="s">
        <v>111</v>
      </c>
      <c r="S20" s="218"/>
      <c r="T20" s="106"/>
    </row>
    <row r="21" spans="1:29" ht="163.19999999999999" customHeight="1">
      <c r="A21" s="101"/>
      <c r="B21" s="222" t="s">
        <v>112</v>
      </c>
      <c r="C21" s="222"/>
      <c r="D21" s="222"/>
      <c r="E21" s="214" t="s">
        <v>240</v>
      </c>
      <c r="F21" s="214"/>
      <c r="G21" s="214"/>
      <c r="H21" s="214"/>
      <c r="I21" s="214"/>
      <c r="J21" s="215" t="s">
        <v>241</v>
      </c>
      <c r="K21" s="215"/>
      <c r="L21" s="215"/>
      <c r="M21" s="223" t="s">
        <v>113</v>
      </c>
      <c r="N21" s="223"/>
      <c r="O21" s="223"/>
      <c r="P21" s="223"/>
      <c r="Q21" s="223"/>
      <c r="R21" s="217" t="s">
        <v>113</v>
      </c>
      <c r="S21" s="217"/>
      <c r="T21" s="106"/>
    </row>
    <row r="22" spans="1:29" ht="61.2" customHeight="1">
      <c r="A22" s="101"/>
      <c r="B22" s="222" t="s">
        <v>244</v>
      </c>
      <c r="C22" s="222"/>
      <c r="D22" s="222"/>
      <c r="E22" s="214" t="s">
        <v>242</v>
      </c>
      <c r="F22" s="214"/>
      <c r="G22" s="214"/>
      <c r="H22" s="214"/>
      <c r="I22" s="214"/>
      <c r="J22" s="215" t="s">
        <v>243</v>
      </c>
      <c r="K22" s="215"/>
      <c r="L22" s="215"/>
      <c r="M22" s="216" t="s">
        <v>114</v>
      </c>
      <c r="N22" s="216"/>
      <c r="O22" s="216"/>
      <c r="P22" s="216"/>
      <c r="Q22" s="216"/>
      <c r="R22" s="218" t="s">
        <v>111</v>
      </c>
      <c r="S22" s="218"/>
      <c r="T22" s="106"/>
    </row>
    <row r="23" spans="1:29" ht="59.4" customHeight="1">
      <c r="A23" s="101"/>
      <c r="B23" s="222" t="s">
        <v>224</v>
      </c>
      <c r="C23" s="222"/>
      <c r="D23" s="222"/>
      <c r="E23" s="224" t="s">
        <v>116</v>
      </c>
      <c r="F23" s="224"/>
      <c r="G23" s="224"/>
      <c r="H23" s="224"/>
      <c r="I23" s="224"/>
      <c r="J23" s="215" t="s">
        <v>245</v>
      </c>
      <c r="K23" s="215"/>
      <c r="L23" s="215"/>
      <c r="M23" s="225" t="s">
        <v>117</v>
      </c>
      <c r="N23" s="225"/>
      <c r="O23" s="225"/>
      <c r="P23" s="225"/>
      <c r="Q23" s="225"/>
      <c r="R23" s="218" t="s">
        <v>111</v>
      </c>
      <c r="S23" s="218"/>
      <c r="T23" s="107"/>
    </row>
    <row r="24" spans="1:29" ht="45.75" customHeight="1">
      <c r="A24" s="101"/>
      <c r="B24" s="222" t="s">
        <v>118</v>
      </c>
      <c r="C24" s="222"/>
      <c r="D24" s="222"/>
      <c r="E24" s="224" t="s">
        <v>119</v>
      </c>
      <c r="F24" s="224"/>
      <c r="G24" s="224"/>
      <c r="H24" s="224"/>
      <c r="I24" s="224"/>
      <c r="J24" s="215" t="s">
        <v>246</v>
      </c>
      <c r="K24" s="215"/>
      <c r="L24" s="215"/>
      <c r="M24" s="225" t="s">
        <v>247</v>
      </c>
      <c r="N24" s="225"/>
      <c r="O24" s="225"/>
      <c r="P24" s="225"/>
      <c r="Q24" s="225"/>
      <c r="R24" s="226" t="s">
        <v>247</v>
      </c>
      <c r="S24" s="226"/>
      <c r="T24" s="107"/>
    </row>
    <row r="25" spans="1:29" ht="98.4" customHeight="1">
      <c r="A25" s="101"/>
      <c r="B25" s="222" t="s">
        <v>225</v>
      </c>
      <c r="C25" s="222"/>
      <c r="D25" s="222"/>
      <c r="E25" s="224" t="s">
        <v>256</v>
      </c>
      <c r="F25" s="224"/>
      <c r="G25" s="224"/>
      <c r="H25" s="224"/>
      <c r="I25" s="224"/>
      <c r="J25" s="215" t="s">
        <v>120</v>
      </c>
      <c r="K25" s="215"/>
      <c r="L25" s="215"/>
      <c r="M25" s="225" t="s">
        <v>120</v>
      </c>
      <c r="N25" s="225"/>
      <c r="O25" s="225"/>
      <c r="P25" s="225"/>
      <c r="Q25" s="225"/>
      <c r="R25" s="226" t="s">
        <v>121</v>
      </c>
      <c r="S25" s="226"/>
      <c r="T25" s="107"/>
    </row>
    <row r="26" spans="1:29" ht="46.5" customHeight="1">
      <c r="A26" s="101"/>
      <c r="B26" s="227" t="s">
        <v>37</v>
      </c>
      <c r="C26" s="227"/>
      <c r="D26" s="227"/>
      <c r="E26" s="228" t="s">
        <v>122</v>
      </c>
      <c r="F26" s="228"/>
      <c r="G26" s="228"/>
      <c r="H26" s="228"/>
      <c r="I26" s="228"/>
      <c r="J26" s="228"/>
      <c r="K26" s="228"/>
      <c r="L26" s="228"/>
      <c r="M26" s="228"/>
      <c r="N26" s="228"/>
      <c r="O26" s="228"/>
      <c r="P26" s="228"/>
      <c r="Q26" s="228"/>
      <c r="R26" s="228"/>
      <c r="S26" s="228"/>
      <c r="T26" s="108"/>
    </row>
    <row r="27" spans="1:29" ht="39" customHeight="1">
      <c r="A27" s="101"/>
      <c r="B27" s="229" t="s">
        <v>107</v>
      </c>
      <c r="C27" s="229"/>
      <c r="D27" s="229"/>
      <c r="E27" s="230" t="s">
        <v>123</v>
      </c>
      <c r="F27" s="230"/>
      <c r="G27" s="230"/>
      <c r="H27" s="230"/>
      <c r="I27" s="230"/>
      <c r="J27" s="231" t="s">
        <v>55</v>
      </c>
      <c r="K27" s="231"/>
      <c r="L27" s="231"/>
      <c r="M27" s="232" t="s">
        <v>124</v>
      </c>
      <c r="N27" s="232"/>
      <c r="O27" s="232"/>
      <c r="P27" s="232"/>
      <c r="Q27" s="232"/>
      <c r="R27" s="231" t="s">
        <v>110</v>
      </c>
      <c r="S27" s="231"/>
      <c r="T27" s="107"/>
    </row>
    <row r="28" spans="1:29" ht="91.8" customHeight="1">
      <c r="A28" s="101"/>
      <c r="B28" s="219" t="s">
        <v>248</v>
      </c>
      <c r="C28" s="219"/>
      <c r="D28" s="219"/>
      <c r="E28" s="220" t="s">
        <v>250</v>
      </c>
      <c r="F28" s="220"/>
      <c r="G28" s="220"/>
      <c r="H28" s="220"/>
      <c r="I28" s="220"/>
      <c r="J28" s="220" t="s">
        <v>251</v>
      </c>
      <c r="K28" s="220"/>
      <c r="L28" s="220"/>
      <c r="M28" s="221" t="s">
        <v>249</v>
      </c>
      <c r="N28" s="221"/>
      <c r="O28" s="221"/>
      <c r="P28" s="221"/>
      <c r="Q28" s="221"/>
      <c r="R28" s="218" t="s">
        <v>111</v>
      </c>
      <c r="S28" s="218"/>
      <c r="T28" s="106"/>
    </row>
    <row r="29" spans="1:29" ht="78.599999999999994" customHeight="1">
      <c r="A29" s="101"/>
      <c r="B29" s="222" t="s">
        <v>125</v>
      </c>
      <c r="C29" s="222"/>
      <c r="D29" s="222"/>
      <c r="E29" s="214" t="s">
        <v>126</v>
      </c>
      <c r="F29" s="214"/>
      <c r="G29" s="214"/>
      <c r="H29" s="214"/>
      <c r="I29" s="214"/>
      <c r="J29" s="215" t="s">
        <v>127</v>
      </c>
      <c r="K29" s="215"/>
      <c r="L29" s="215"/>
      <c r="M29" s="223" t="s">
        <v>128</v>
      </c>
      <c r="N29" s="223"/>
      <c r="O29" s="223"/>
      <c r="P29" s="223"/>
      <c r="Q29" s="223"/>
      <c r="R29" s="218" t="s">
        <v>111</v>
      </c>
      <c r="S29" s="218"/>
      <c r="T29" s="106"/>
    </row>
    <row r="30" spans="1:29" ht="65.400000000000006" customHeight="1">
      <c r="A30" s="101"/>
      <c r="B30" s="213" t="s">
        <v>115</v>
      </c>
      <c r="C30" s="213"/>
      <c r="D30" s="213"/>
      <c r="E30" s="216" t="s">
        <v>252</v>
      </c>
      <c r="F30" s="216"/>
      <c r="G30" s="216"/>
      <c r="H30" s="216"/>
      <c r="I30" s="216"/>
      <c r="J30" s="215" t="s">
        <v>253</v>
      </c>
      <c r="K30" s="215"/>
      <c r="L30" s="215"/>
      <c r="M30" s="216" t="s">
        <v>129</v>
      </c>
      <c r="N30" s="216"/>
      <c r="O30" s="216"/>
      <c r="P30" s="216"/>
      <c r="Q30" s="216"/>
      <c r="R30" s="218" t="s">
        <v>111</v>
      </c>
      <c r="S30" s="218"/>
      <c r="T30" s="106"/>
    </row>
    <row r="31" spans="1:29" ht="115.8" customHeight="1">
      <c r="A31" s="101"/>
      <c r="B31" s="213" t="s">
        <v>130</v>
      </c>
      <c r="C31" s="213"/>
      <c r="D31" s="213"/>
      <c r="E31" s="214" t="s">
        <v>254</v>
      </c>
      <c r="F31" s="214"/>
      <c r="G31" s="214"/>
      <c r="H31" s="214"/>
      <c r="I31" s="214"/>
      <c r="J31" s="215" t="s">
        <v>255</v>
      </c>
      <c r="K31" s="215"/>
      <c r="L31" s="215"/>
      <c r="M31" s="216" t="s">
        <v>131</v>
      </c>
      <c r="N31" s="216"/>
      <c r="O31" s="216"/>
      <c r="P31" s="216"/>
      <c r="Q31" s="216"/>
      <c r="R31" s="218" t="s">
        <v>111</v>
      </c>
      <c r="S31" s="218"/>
      <c r="T31" s="106"/>
    </row>
    <row r="32" spans="1:29" ht="79.2" customHeight="1">
      <c r="A32" s="101"/>
      <c r="B32" s="213" t="s">
        <v>132</v>
      </c>
      <c r="C32" s="213"/>
      <c r="D32" s="213"/>
      <c r="E32" s="214" t="s">
        <v>133</v>
      </c>
      <c r="F32" s="214"/>
      <c r="G32" s="214"/>
      <c r="H32" s="214"/>
      <c r="I32" s="214"/>
      <c r="J32" s="215" t="s">
        <v>133</v>
      </c>
      <c r="K32" s="215"/>
      <c r="L32" s="215"/>
      <c r="M32" s="216" t="s">
        <v>134</v>
      </c>
      <c r="N32" s="216"/>
      <c r="O32" s="216"/>
      <c r="P32" s="216"/>
      <c r="Q32" s="216"/>
      <c r="R32" s="217" t="s">
        <v>134</v>
      </c>
      <c r="S32" s="217"/>
      <c r="T32" s="106"/>
    </row>
    <row r="33" spans="1:29" ht="82.8" customHeight="1">
      <c r="A33" s="101"/>
      <c r="B33" s="213" t="s">
        <v>135</v>
      </c>
      <c r="C33" s="213"/>
      <c r="D33" s="213"/>
      <c r="E33" s="214" t="s">
        <v>136</v>
      </c>
      <c r="F33" s="214"/>
      <c r="G33" s="214"/>
      <c r="H33" s="214"/>
      <c r="I33" s="214"/>
      <c r="J33" s="215" t="s">
        <v>137</v>
      </c>
      <c r="K33" s="215"/>
      <c r="L33" s="215"/>
      <c r="M33" s="216" t="s">
        <v>137</v>
      </c>
      <c r="N33" s="216"/>
      <c r="O33" s="216"/>
      <c r="P33" s="216"/>
      <c r="Q33" s="216"/>
      <c r="R33" s="217" t="s">
        <v>137</v>
      </c>
      <c r="S33" s="217"/>
      <c r="T33" s="107"/>
    </row>
    <row r="34" spans="1:29" ht="46.5" customHeight="1">
      <c r="A34" s="101"/>
      <c r="B34" s="204" t="s">
        <v>138</v>
      </c>
      <c r="C34" s="204"/>
      <c r="D34" s="204"/>
      <c r="E34" s="204"/>
      <c r="F34" s="204"/>
      <c r="G34" s="204"/>
      <c r="H34" s="204"/>
      <c r="I34" s="204"/>
      <c r="J34" s="204"/>
      <c r="K34" s="204"/>
      <c r="L34" s="204"/>
      <c r="M34" s="204"/>
      <c r="N34" s="204"/>
      <c r="O34" s="204"/>
      <c r="P34" s="204"/>
      <c r="Q34" s="204"/>
      <c r="R34" s="204"/>
      <c r="S34" s="204"/>
      <c r="T34" s="204"/>
    </row>
    <row r="35" spans="1:29" s="104" customFormat="1" ht="58.5" customHeight="1">
      <c r="A35" s="102"/>
      <c r="B35" s="207" t="s">
        <v>139</v>
      </c>
      <c r="C35" s="207"/>
      <c r="D35" s="207"/>
      <c r="E35" s="208" t="s">
        <v>140</v>
      </c>
      <c r="F35" s="208"/>
      <c r="G35" s="208"/>
      <c r="H35" s="208"/>
      <c r="I35" s="208"/>
      <c r="J35" s="209" t="s">
        <v>141</v>
      </c>
      <c r="K35" s="209"/>
      <c r="L35" s="209"/>
      <c r="M35" s="209"/>
      <c r="N35" s="209"/>
      <c r="O35" s="209"/>
      <c r="P35" s="209"/>
      <c r="Q35" s="209"/>
      <c r="R35" s="209"/>
      <c r="S35" s="109"/>
      <c r="T35" s="105"/>
      <c r="U35" s="102"/>
      <c r="V35" s="102"/>
      <c r="W35" s="102"/>
      <c r="X35" s="102"/>
      <c r="Y35" s="102"/>
      <c r="Z35" s="102"/>
    </row>
    <row r="36" spans="1:29" s="104" customFormat="1" ht="39" customHeight="1">
      <c r="A36" s="102"/>
      <c r="B36" s="210" t="s">
        <v>142</v>
      </c>
      <c r="C36" s="210"/>
      <c r="D36" s="210"/>
      <c r="E36" s="211" t="s">
        <v>143</v>
      </c>
      <c r="F36" s="211"/>
      <c r="G36" s="211"/>
      <c r="H36" s="211"/>
      <c r="I36" s="211"/>
      <c r="J36" s="212" t="s">
        <v>144</v>
      </c>
      <c r="K36" s="212"/>
      <c r="L36" s="212"/>
      <c r="M36" s="212"/>
      <c r="N36" s="212"/>
      <c r="O36" s="212"/>
      <c r="P36" s="212"/>
      <c r="Q36" s="212"/>
      <c r="R36" s="212"/>
      <c r="S36" s="109"/>
      <c r="T36" s="105"/>
      <c r="U36" s="102"/>
      <c r="V36" s="102"/>
      <c r="W36" s="102"/>
      <c r="X36" s="102"/>
      <c r="Y36" s="102"/>
      <c r="Z36" s="102"/>
    </row>
    <row r="37" spans="1:29" s="104" customFormat="1" ht="45.75" customHeight="1">
      <c r="A37" s="102"/>
      <c r="B37" s="198" t="s">
        <v>56</v>
      </c>
      <c r="C37" s="198"/>
      <c r="D37" s="198"/>
      <c r="E37" s="199" t="s">
        <v>145</v>
      </c>
      <c r="F37" s="199"/>
      <c r="G37" s="199"/>
      <c r="H37" s="199"/>
      <c r="I37" s="199"/>
      <c r="J37" s="200" t="s">
        <v>146</v>
      </c>
      <c r="K37" s="200"/>
      <c r="L37" s="200"/>
      <c r="M37" s="200"/>
      <c r="N37" s="200"/>
      <c r="O37" s="200"/>
      <c r="P37" s="200"/>
      <c r="Q37" s="200"/>
      <c r="R37" s="200"/>
      <c r="S37" s="109"/>
      <c r="T37" s="105"/>
      <c r="U37" s="102"/>
      <c r="V37" s="102"/>
      <c r="W37" s="102"/>
      <c r="X37" s="102"/>
      <c r="Y37" s="102"/>
      <c r="Z37" s="102"/>
    </row>
    <row r="38" spans="1:29" s="104" customFormat="1" ht="43.5" customHeight="1">
      <c r="A38" s="102"/>
      <c r="B38" s="201" t="s">
        <v>57</v>
      </c>
      <c r="C38" s="201"/>
      <c r="D38" s="201"/>
      <c r="E38" s="202" t="s">
        <v>147</v>
      </c>
      <c r="F38" s="202"/>
      <c r="G38" s="202"/>
      <c r="H38" s="202"/>
      <c r="I38" s="202"/>
      <c r="J38" s="203" t="s">
        <v>148</v>
      </c>
      <c r="K38" s="203"/>
      <c r="L38" s="203"/>
      <c r="M38" s="203"/>
      <c r="N38" s="203"/>
      <c r="O38" s="203"/>
      <c r="P38" s="203"/>
      <c r="Q38" s="203"/>
      <c r="R38" s="203"/>
      <c r="S38" s="109"/>
      <c r="T38" s="105"/>
      <c r="U38" s="102"/>
      <c r="V38" s="102"/>
      <c r="W38" s="102"/>
      <c r="X38" s="102"/>
      <c r="Y38" s="102"/>
      <c r="Z38" s="102"/>
    </row>
    <row r="39" spans="1:29" ht="50.25" customHeight="1">
      <c r="A39" s="101"/>
      <c r="B39" s="204" t="s">
        <v>149</v>
      </c>
      <c r="C39" s="204"/>
      <c r="D39" s="204"/>
      <c r="E39" s="204"/>
      <c r="F39" s="204"/>
      <c r="G39" s="204"/>
      <c r="H39" s="204"/>
      <c r="I39" s="204"/>
      <c r="J39" s="204"/>
      <c r="K39" s="204"/>
      <c r="L39" s="204"/>
      <c r="M39" s="204"/>
      <c r="N39" s="204"/>
      <c r="O39" s="204"/>
      <c r="P39" s="204"/>
      <c r="Q39" s="204"/>
      <c r="R39" s="204"/>
      <c r="S39" s="204"/>
      <c r="T39" s="204"/>
    </row>
    <row r="40" spans="1:29" s="104" customFormat="1" ht="42.75" customHeight="1">
      <c r="A40" s="102"/>
      <c r="B40" s="207" t="s">
        <v>150</v>
      </c>
      <c r="C40" s="207"/>
      <c r="D40" s="207"/>
      <c r="E40" s="208" t="s">
        <v>140</v>
      </c>
      <c r="F40" s="208"/>
      <c r="G40" s="208"/>
      <c r="H40" s="208"/>
      <c r="I40" s="208"/>
      <c r="J40" s="209" t="s">
        <v>151</v>
      </c>
      <c r="K40" s="209"/>
      <c r="L40" s="209"/>
      <c r="M40" s="209"/>
      <c r="N40" s="209"/>
      <c r="O40" s="209"/>
      <c r="P40" s="209"/>
      <c r="Q40" s="209"/>
      <c r="R40" s="209"/>
      <c r="S40" s="109"/>
      <c r="T40" s="105"/>
      <c r="U40" s="102"/>
      <c r="V40" s="102"/>
      <c r="W40" s="102"/>
      <c r="X40" s="102"/>
      <c r="Y40" s="102"/>
      <c r="Z40" s="102"/>
    </row>
    <row r="41" spans="1:29" s="104" customFormat="1" ht="38.25" customHeight="1">
      <c r="A41" s="102"/>
      <c r="B41" s="210" t="s">
        <v>142</v>
      </c>
      <c r="C41" s="210"/>
      <c r="D41" s="210"/>
      <c r="E41" s="211" t="s">
        <v>152</v>
      </c>
      <c r="F41" s="211"/>
      <c r="G41" s="211"/>
      <c r="H41" s="211"/>
      <c r="I41" s="211"/>
      <c r="J41" s="212" t="s">
        <v>153</v>
      </c>
      <c r="K41" s="212"/>
      <c r="L41" s="212"/>
      <c r="M41" s="212"/>
      <c r="N41" s="212"/>
      <c r="O41" s="212"/>
      <c r="P41" s="212"/>
      <c r="Q41" s="212"/>
      <c r="R41" s="212"/>
      <c r="S41" s="109"/>
      <c r="T41" s="105"/>
      <c r="U41" s="102"/>
      <c r="V41" s="102"/>
      <c r="W41" s="102"/>
      <c r="X41" s="102"/>
      <c r="Y41" s="102"/>
      <c r="Z41" s="102"/>
    </row>
    <row r="42" spans="1:29" s="104" customFormat="1" ht="37.5" customHeight="1">
      <c r="A42" s="102"/>
      <c r="B42" s="198" t="s">
        <v>56</v>
      </c>
      <c r="C42" s="198"/>
      <c r="D42" s="198"/>
      <c r="E42" s="199" t="s">
        <v>154</v>
      </c>
      <c r="F42" s="199"/>
      <c r="G42" s="199"/>
      <c r="H42" s="199"/>
      <c r="I42" s="199"/>
      <c r="J42" s="200" t="s">
        <v>155</v>
      </c>
      <c r="K42" s="200"/>
      <c r="L42" s="200"/>
      <c r="M42" s="200"/>
      <c r="N42" s="200"/>
      <c r="O42" s="200"/>
      <c r="P42" s="200"/>
      <c r="Q42" s="200"/>
      <c r="R42" s="200"/>
      <c r="S42" s="109"/>
      <c r="T42" s="105"/>
      <c r="U42" s="102"/>
      <c r="V42" s="102"/>
      <c r="W42" s="102"/>
      <c r="X42" s="102"/>
      <c r="Y42" s="102"/>
      <c r="Z42" s="102"/>
    </row>
    <row r="43" spans="1:29" s="104" customFormat="1" ht="52.5" customHeight="1">
      <c r="A43" s="102"/>
      <c r="B43" s="201" t="s">
        <v>57</v>
      </c>
      <c r="C43" s="201"/>
      <c r="D43" s="201"/>
      <c r="E43" s="202" t="s">
        <v>156</v>
      </c>
      <c r="F43" s="202"/>
      <c r="G43" s="202"/>
      <c r="H43" s="202"/>
      <c r="I43" s="202"/>
      <c r="J43" s="203" t="s">
        <v>157</v>
      </c>
      <c r="K43" s="203"/>
      <c r="L43" s="203"/>
      <c r="M43" s="203"/>
      <c r="N43" s="203"/>
      <c r="O43" s="203"/>
      <c r="P43" s="203"/>
      <c r="Q43" s="203"/>
      <c r="R43" s="203"/>
      <c r="S43" s="109"/>
      <c r="T43" s="105"/>
      <c r="U43" s="102"/>
      <c r="V43" s="102"/>
      <c r="W43" s="102"/>
      <c r="X43" s="102"/>
      <c r="Y43" s="102"/>
      <c r="Z43" s="102"/>
    </row>
    <row r="44" spans="1:29" ht="54" customHeight="1">
      <c r="A44" s="101"/>
      <c r="B44" s="204" t="s">
        <v>158</v>
      </c>
      <c r="C44" s="204"/>
      <c r="D44" s="204"/>
      <c r="E44" s="204"/>
      <c r="F44" s="204"/>
      <c r="G44" s="204"/>
      <c r="H44" s="204"/>
      <c r="I44" s="204"/>
      <c r="J44" s="204"/>
      <c r="K44" s="204"/>
      <c r="L44" s="204"/>
      <c r="M44" s="204"/>
      <c r="N44" s="204"/>
      <c r="O44" s="204"/>
      <c r="P44" s="204"/>
      <c r="Q44" s="204"/>
      <c r="R44" s="204"/>
      <c r="S44" s="204"/>
      <c r="T44" s="204"/>
      <c r="AA44" s="101"/>
      <c r="AB44" s="101"/>
      <c r="AC44" s="101"/>
    </row>
    <row r="45" spans="1:29" s="104" customFormat="1" ht="33.75" customHeight="1">
      <c r="A45" s="102"/>
      <c r="B45" s="205" t="s">
        <v>159</v>
      </c>
      <c r="C45" s="205"/>
      <c r="D45" s="205"/>
      <c r="E45" s="205"/>
      <c r="F45" s="205"/>
      <c r="G45" s="205"/>
      <c r="H45" s="205"/>
      <c r="I45" s="205"/>
      <c r="J45" s="102"/>
      <c r="K45" s="102"/>
      <c r="L45" s="102"/>
      <c r="M45" s="102"/>
      <c r="N45" s="102"/>
      <c r="O45" s="102"/>
      <c r="P45" s="102"/>
      <c r="Q45" s="102"/>
      <c r="R45" s="102"/>
      <c r="S45" s="102"/>
      <c r="T45" s="102"/>
      <c r="U45" s="102"/>
      <c r="V45" s="102"/>
      <c r="W45" s="102"/>
      <c r="X45" s="102"/>
      <c r="Y45" s="102"/>
      <c r="Z45" s="102"/>
    </row>
    <row r="46" spans="1:29" s="104" customFormat="1" ht="24" customHeight="1">
      <c r="A46" s="102"/>
      <c r="B46" s="206" t="s">
        <v>160</v>
      </c>
      <c r="C46" s="206"/>
      <c r="D46" s="206"/>
      <c r="E46" s="206" t="s">
        <v>161</v>
      </c>
      <c r="F46" s="206"/>
      <c r="G46" s="206"/>
      <c r="H46" s="206"/>
      <c r="I46" s="206"/>
      <c r="J46" s="102"/>
      <c r="K46" s="102"/>
      <c r="L46" s="102"/>
      <c r="M46" s="102"/>
      <c r="N46" s="102"/>
      <c r="O46" s="102"/>
      <c r="P46" s="102"/>
      <c r="Q46" s="102"/>
      <c r="R46" s="102"/>
      <c r="S46" s="102"/>
      <c r="T46" s="102"/>
      <c r="U46" s="102"/>
      <c r="V46" s="102"/>
      <c r="W46" s="102"/>
      <c r="X46" s="102"/>
      <c r="Y46" s="102"/>
      <c r="Z46" s="102"/>
    </row>
    <row r="47" spans="1:29" ht="130.19999999999999" customHeight="1">
      <c r="A47" s="101"/>
      <c r="B47" s="192" t="s">
        <v>162</v>
      </c>
      <c r="C47" s="192"/>
      <c r="D47" s="192"/>
      <c r="E47" s="193" t="s">
        <v>257</v>
      </c>
      <c r="F47" s="193"/>
      <c r="G47" s="193"/>
      <c r="H47" s="193"/>
      <c r="I47" s="193"/>
      <c r="J47" s="101"/>
      <c r="K47" s="101"/>
      <c r="L47" s="101"/>
      <c r="M47" s="101"/>
      <c r="N47" s="101"/>
      <c r="O47" s="101"/>
      <c r="P47" s="101"/>
      <c r="Q47" s="101"/>
      <c r="R47" s="101"/>
      <c r="S47" s="101"/>
      <c r="T47" s="101"/>
    </row>
    <row r="48" spans="1:29" ht="85.8" customHeight="1">
      <c r="A48" s="101"/>
      <c r="B48" s="194" t="s">
        <v>163</v>
      </c>
      <c r="C48" s="194"/>
      <c r="D48" s="194"/>
      <c r="E48" s="195" t="s">
        <v>164</v>
      </c>
      <c r="F48" s="195"/>
      <c r="G48" s="195"/>
      <c r="H48" s="195"/>
      <c r="I48" s="195"/>
      <c r="J48" s="101"/>
      <c r="K48" s="101"/>
      <c r="L48" s="101"/>
      <c r="M48" s="101"/>
      <c r="N48" s="101"/>
      <c r="O48" s="101"/>
      <c r="P48" s="101"/>
      <c r="Q48" s="101"/>
      <c r="R48" s="101"/>
      <c r="S48" s="101"/>
      <c r="T48" s="101"/>
    </row>
    <row r="49" spans="1:20" ht="66" customHeight="1">
      <c r="A49" s="101"/>
      <c r="B49" s="196" t="s">
        <v>165</v>
      </c>
      <c r="C49" s="196"/>
      <c r="D49" s="196"/>
      <c r="E49" s="197" t="s">
        <v>166</v>
      </c>
      <c r="F49" s="197"/>
      <c r="G49" s="197"/>
      <c r="H49" s="197"/>
      <c r="I49" s="197"/>
      <c r="J49" s="101"/>
      <c r="K49" s="101"/>
      <c r="L49" s="101"/>
      <c r="M49" s="101"/>
      <c r="N49" s="101"/>
      <c r="O49" s="101"/>
      <c r="P49" s="101"/>
      <c r="Q49" s="101"/>
      <c r="R49" s="101"/>
      <c r="S49" s="101"/>
      <c r="T49" s="101"/>
    </row>
    <row r="50" spans="1:20">
      <c r="A50" s="101"/>
      <c r="B50" s="190"/>
      <c r="C50" s="190"/>
      <c r="D50" s="190"/>
      <c r="E50" s="191"/>
      <c r="F50" s="191"/>
      <c r="G50" s="191"/>
      <c r="H50" s="191"/>
      <c r="I50" s="191"/>
      <c r="J50" s="101"/>
      <c r="K50" s="101"/>
      <c r="L50" s="101"/>
      <c r="M50" s="101"/>
      <c r="N50" s="101"/>
      <c r="O50" s="101"/>
      <c r="P50" s="101"/>
      <c r="Q50" s="101"/>
      <c r="R50" s="101"/>
      <c r="S50" s="101"/>
      <c r="T50" s="101"/>
    </row>
    <row r="51" spans="1:20">
      <c r="A51" s="101"/>
      <c r="B51" s="190"/>
      <c r="C51" s="190"/>
      <c r="D51" s="190"/>
      <c r="E51" s="191"/>
      <c r="F51" s="191"/>
      <c r="G51" s="191"/>
      <c r="H51" s="191"/>
      <c r="I51" s="191"/>
      <c r="J51" s="101"/>
      <c r="K51" s="101"/>
      <c r="L51" s="101"/>
      <c r="M51" s="101"/>
      <c r="N51" s="101"/>
      <c r="O51" s="101"/>
      <c r="P51" s="101"/>
      <c r="Q51" s="101"/>
      <c r="R51" s="101"/>
      <c r="S51" s="101"/>
      <c r="T51" s="101"/>
    </row>
    <row r="52" spans="1:20">
      <c r="A52" s="101"/>
      <c r="B52" s="190"/>
      <c r="C52" s="190"/>
      <c r="D52" s="190"/>
      <c r="E52" s="191"/>
      <c r="F52" s="191"/>
      <c r="G52" s="191"/>
      <c r="H52" s="191"/>
      <c r="I52" s="191"/>
      <c r="J52" s="101"/>
      <c r="K52" s="101"/>
      <c r="L52" s="101"/>
      <c r="M52" s="101"/>
      <c r="N52" s="101"/>
      <c r="O52" s="101"/>
      <c r="P52" s="101"/>
      <c r="Q52" s="101"/>
      <c r="R52" s="101"/>
      <c r="S52" s="101"/>
      <c r="T52" s="101"/>
    </row>
    <row r="53" spans="1:20">
      <c r="A53" s="101"/>
      <c r="B53" s="190"/>
      <c r="C53" s="190"/>
      <c r="D53" s="190"/>
      <c r="E53" s="191"/>
      <c r="F53" s="191"/>
      <c r="G53" s="191"/>
      <c r="H53" s="191"/>
      <c r="I53" s="191"/>
      <c r="J53" s="101"/>
      <c r="K53" s="101"/>
      <c r="L53" s="101"/>
      <c r="M53" s="101"/>
      <c r="N53" s="101"/>
      <c r="O53" s="101"/>
      <c r="P53" s="101"/>
      <c r="Q53" s="101"/>
      <c r="R53" s="101"/>
      <c r="S53" s="101"/>
      <c r="T53" s="101"/>
    </row>
    <row r="54" spans="1:20">
      <c r="A54" s="101"/>
      <c r="B54" s="101"/>
      <c r="C54" s="101"/>
      <c r="D54" s="101"/>
      <c r="E54" s="101"/>
      <c r="F54" s="101"/>
      <c r="G54" s="101"/>
      <c r="H54" s="101"/>
      <c r="I54" s="101"/>
      <c r="J54" s="101"/>
      <c r="K54" s="101"/>
      <c r="L54" s="101"/>
      <c r="M54" s="101"/>
      <c r="N54" s="101"/>
      <c r="O54" s="101"/>
      <c r="P54" s="101"/>
      <c r="Q54" s="101"/>
      <c r="R54" s="101"/>
      <c r="S54" s="101"/>
      <c r="T54" s="101"/>
    </row>
    <row r="55" spans="1:20">
      <c r="A55" s="101"/>
      <c r="B55" s="101"/>
      <c r="C55" s="101"/>
      <c r="D55" s="101"/>
      <c r="E55" s="101"/>
      <c r="F55" s="101"/>
      <c r="G55" s="101"/>
      <c r="H55" s="101"/>
      <c r="I55" s="101"/>
      <c r="J55" s="101"/>
      <c r="K55" s="101"/>
      <c r="L55" s="101"/>
      <c r="M55" s="101"/>
      <c r="N55" s="101"/>
      <c r="O55" s="101"/>
      <c r="P55" s="101"/>
      <c r="Q55" s="101"/>
      <c r="R55" s="101"/>
      <c r="S55" s="101"/>
      <c r="T55" s="101"/>
    </row>
    <row r="56" spans="1:20">
      <c r="A56" s="101"/>
      <c r="B56" s="101"/>
      <c r="C56" s="101"/>
      <c r="D56" s="101"/>
      <c r="E56" s="101"/>
      <c r="F56" s="101"/>
      <c r="G56" s="101"/>
      <c r="H56" s="101"/>
      <c r="I56" s="101"/>
      <c r="J56" s="101"/>
      <c r="K56" s="101"/>
      <c r="L56" s="101"/>
      <c r="M56" s="101"/>
      <c r="N56" s="101"/>
      <c r="O56" s="101"/>
      <c r="P56" s="101"/>
      <c r="Q56" s="101"/>
      <c r="R56" s="101"/>
      <c r="S56" s="101"/>
      <c r="T56" s="101"/>
    </row>
    <row r="57" spans="1:20">
      <c r="A57" s="101"/>
      <c r="B57" s="101"/>
      <c r="C57" s="101"/>
      <c r="D57" s="101"/>
      <c r="E57" s="101"/>
      <c r="F57" s="101"/>
      <c r="G57" s="101"/>
      <c r="H57" s="101"/>
      <c r="I57" s="101"/>
      <c r="J57" s="101"/>
      <c r="K57" s="101"/>
      <c r="L57" s="101"/>
      <c r="M57" s="101"/>
      <c r="N57" s="101"/>
      <c r="O57" s="101"/>
      <c r="P57" s="101"/>
      <c r="Q57" s="101"/>
      <c r="R57" s="101"/>
      <c r="S57" s="101"/>
      <c r="T57" s="101"/>
    </row>
    <row r="58" spans="1:20">
      <c r="A58" s="101"/>
      <c r="B58" s="101"/>
      <c r="C58" s="101"/>
      <c r="D58" s="101"/>
      <c r="E58" s="101"/>
      <c r="F58" s="101"/>
      <c r="G58" s="101"/>
      <c r="H58" s="101"/>
      <c r="I58" s="101"/>
      <c r="J58" s="101"/>
      <c r="K58" s="101"/>
      <c r="L58" s="101"/>
      <c r="M58" s="101"/>
      <c r="N58" s="101"/>
      <c r="O58" s="101"/>
      <c r="P58" s="101"/>
      <c r="Q58" s="101"/>
      <c r="R58" s="101"/>
      <c r="S58" s="101"/>
      <c r="T58" s="101"/>
    </row>
    <row r="59" spans="1:20">
      <c r="A59" s="101"/>
      <c r="B59" s="101"/>
      <c r="C59" s="101"/>
      <c r="D59" s="101"/>
      <c r="E59" s="101"/>
      <c r="F59" s="101"/>
      <c r="G59" s="101"/>
      <c r="H59" s="101"/>
      <c r="I59" s="101"/>
      <c r="J59" s="101"/>
      <c r="K59" s="101"/>
      <c r="L59" s="101"/>
      <c r="M59" s="101"/>
      <c r="N59" s="101"/>
      <c r="O59" s="101"/>
      <c r="P59" s="101"/>
      <c r="Q59" s="101"/>
      <c r="R59" s="101"/>
      <c r="S59" s="101"/>
      <c r="T59" s="101"/>
    </row>
    <row r="60" spans="1:20">
      <c r="A60" s="101"/>
      <c r="B60" s="101"/>
      <c r="C60" s="101"/>
      <c r="D60" s="101"/>
      <c r="E60" s="101"/>
      <c r="F60" s="101"/>
      <c r="G60" s="101"/>
      <c r="H60" s="101"/>
      <c r="I60" s="101"/>
      <c r="J60" s="101"/>
      <c r="K60" s="101"/>
      <c r="L60" s="101"/>
      <c r="M60" s="101"/>
      <c r="N60" s="101"/>
      <c r="O60" s="101"/>
      <c r="P60" s="101"/>
      <c r="Q60" s="101"/>
      <c r="R60" s="101"/>
      <c r="S60" s="101"/>
      <c r="T60" s="101"/>
    </row>
    <row r="61" spans="1:20">
      <c r="A61" s="101"/>
      <c r="B61" s="101"/>
      <c r="C61" s="101"/>
      <c r="D61" s="101"/>
      <c r="E61" s="101"/>
      <c r="F61" s="101"/>
      <c r="G61" s="101"/>
      <c r="H61" s="101"/>
      <c r="I61" s="101"/>
      <c r="J61" s="101"/>
      <c r="K61" s="101"/>
      <c r="L61" s="101"/>
      <c r="M61" s="101"/>
      <c r="N61" s="101"/>
      <c r="O61" s="101"/>
      <c r="P61" s="101"/>
      <c r="Q61" s="101"/>
      <c r="R61" s="101"/>
      <c r="S61" s="101"/>
      <c r="T61" s="101"/>
    </row>
    <row r="62" spans="1:20">
      <c r="A62" s="101"/>
      <c r="B62" s="101"/>
      <c r="C62" s="101"/>
      <c r="D62" s="101"/>
      <c r="E62" s="101"/>
      <c r="F62" s="101"/>
      <c r="G62" s="101"/>
      <c r="H62" s="101"/>
      <c r="I62" s="101"/>
      <c r="J62" s="101"/>
      <c r="K62" s="101"/>
      <c r="L62" s="101"/>
      <c r="M62" s="101"/>
      <c r="N62" s="101"/>
      <c r="O62" s="101"/>
      <c r="P62" s="101"/>
      <c r="Q62" s="101"/>
      <c r="R62" s="101"/>
      <c r="S62" s="101"/>
      <c r="T62" s="101"/>
    </row>
    <row r="63" spans="1:20">
      <c r="A63" s="101"/>
      <c r="B63" s="101"/>
      <c r="C63" s="101"/>
      <c r="D63" s="101"/>
      <c r="E63" s="101"/>
      <c r="F63" s="101"/>
      <c r="G63" s="101"/>
      <c r="H63" s="101"/>
      <c r="I63" s="101"/>
      <c r="J63" s="101"/>
      <c r="K63" s="101"/>
      <c r="L63" s="101"/>
      <c r="M63" s="101"/>
      <c r="N63" s="101"/>
      <c r="O63" s="101"/>
      <c r="P63" s="101"/>
      <c r="Q63" s="101"/>
      <c r="R63" s="101"/>
      <c r="S63" s="101"/>
      <c r="T63" s="101"/>
    </row>
    <row r="64" spans="1:20">
      <c r="A64" s="101"/>
      <c r="B64" s="101"/>
      <c r="C64" s="101"/>
      <c r="D64" s="101"/>
      <c r="E64" s="101"/>
      <c r="F64" s="101"/>
      <c r="G64" s="101"/>
      <c r="H64" s="101"/>
      <c r="I64" s="101"/>
      <c r="J64" s="101"/>
      <c r="K64" s="101"/>
      <c r="L64" s="101"/>
      <c r="M64" s="101"/>
      <c r="N64" s="101"/>
      <c r="O64" s="101"/>
      <c r="P64" s="101"/>
      <c r="Q64" s="101"/>
      <c r="R64" s="101"/>
      <c r="S64" s="101"/>
      <c r="T64" s="101"/>
    </row>
  </sheetData>
  <mergeCells count="149">
    <mergeCell ref="B1:T1"/>
    <mergeCell ref="B2:P2"/>
    <mergeCell ref="B3:F3"/>
    <mergeCell ref="G3:P3"/>
    <mergeCell ref="B4:F4"/>
    <mergeCell ref="G4:P4"/>
    <mergeCell ref="B5:F5"/>
    <mergeCell ref="G5:P5"/>
    <mergeCell ref="B6:F6"/>
    <mergeCell ref="G6:P6"/>
    <mergeCell ref="B7:F7"/>
    <mergeCell ref="G7:P7"/>
    <mergeCell ref="B8:F8"/>
    <mergeCell ref="G8:P8"/>
    <mergeCell ref="B9:F9"/>
    <mergeCell ref="G9:P9"/>
    <mergeCell ref="B10:F10"/>
    <mergeCell ref="G10:P10"/>
    <mergeCell ref="B11:F11"/>
    <mergeCell ref="G11:P11"/>
    <mergeCell ref="B12:F12"/>
    <mergeCell ref="G12:P12"/>
    <mergeCell ref="B13:F13"/>
    <mergeCell ref="G13:P13"/>
    <mergeCell ref="B14:F14"/>
    <mergeCell ref="G14:P14"/>
    <mergeCell ref="B15:F15"/>
    <mergeCell ref="G15:P15"/>
    <mergeCell ref="B16:F16"/>
    <mergeCell ref="G16:P16"/>
    <mergeCell ref="B17:T17"/>
    <mergeCell ref="B18:D18"/>
    <mergeCell ref="E18:S18"/>
    <mergeCell ref="B19:D19"/>
    <mergeCell ref="E19:I19"/>
    <mergeCell ref="J19:L19"/>
    <mergeCell ref="M19:Q19"/>
    <mergeCell ref="R19:S19"/>
    <mergeCell ref="B20:D20"/>
    <mergeCell ref="E20:I20"/>
    <mergeCell ref="J20:L20"/>
    <mergeCell ref="M20:Q20"/>
    <mergeCell ref="R20:S20"/>
    <mergeCell ref="B21:D21"/>
    <mergeCell ref="E21:I21"/>
    <mergeCell ref="J21:L21"/>
    <mergeCell ref="M21:Q21"/>
    <mergeCell ref="R21:S21"/>
    <mergeCell ref="B22:D22"/>
    <mergeCell ref="E22:I22"/>
    <mergeCell ref="J22:L22"/>
    <mergeCell ref="M22:Q22"/>
    <mergeCell ref="R22:S22"/>
    <mergeCell ref="B23:D23"/>
    <mergeCell ref="E23:I23"/>
    <mergeCell ref="J23:L23"/>
    <mergeCell ref="M23:Q23"/>
    <mergeCell ref="R23:S23"/>
    <mergeCell ref="B24:D24"/>
    <mergeCell ref="E24:I24"/>
    <mergeCell ref="J24:L24"/>
    <mergeCell ref="M24:Q24"/>
    <mergeCell ref="R24:S24"/>
    <mergeCell ref="B25:D25"/>
    <mergeCell ref="E25:I25"/>
    <mergeCell ref="J25:L25"/>
    <mergeCell ref="M25:Q25"/>
    <mergeCell ref="R25:S25"/>
    <mergeCell ref="B26:D26"/>
    <mergeCell ref="E26:S26"/>
    <mergeCell ref="B27:D27"/>
    <mergeCell ref="E27:I27"/>
    <mergeCell ref="J27:L27"/>
    <mergeCell ref="M27:Q27"/>
    <mergeCell ref="R27:S27"/>
    <mergeCell ref="B28:D28"/>
    <mergeCell ref="E28:I28"/>
    <mergeCell ref="J28:L28"/>
    <mergeCell ref="M28:Q28"/>
    <mergeCell ref="R28:S28"/>
    <mergeCell ref="B29:D29"/>
    <mergeCell ref="E29:I29"/>
    <mergeCell ref="J29:L29"/>
    <mergeCell ref="M29:Q29"/>
    <mergeCell ref="R29:S29"/>
    <mergeCell ref="B30:D30"/>
    <mergeCell ref="E30:I30"/>
    <mergeCell ref="J30:L30"/>
    <mergeCell ref="M30:Q30"/>
    <mergeCell ref="R30:S30"/>
    <mergeCell ref="B31:D31"/>
    <mergeCell ref="E31:I31"/>
    <mergeCell ref="J31:L31"/>
    <mergeCell ref="M31:Q31"/>
    <mergeCell ref="R31:S31"/>
    <mergeCell ref="B32:D32"/>
    <mergeCell ref="E32:I32"/>
    <mergeCell ref="J32:L32"/>
    <mergeCell ref="M32:Q32"/>
    <mergeCell ref="R32:S32"/>
    <mergeCell ref="B33:D33"/>
    <mergeCell ref="E33:I33"/>
    <mergeCell ref="J33:L33"/>
    <mergeCell ref="M33:Q33"/>
    <mergeCell ref="R33:S33"/>
    <mergeCell ref="B34:T34"/>
    <mergeCell ref="B35:D35"/>
    <mergeCell ref="E35:I35"/>
    <mergeCell ref="J35:R35"/>
    <mergeCell ref="B36:D36"/>
    <mergeCell ref="E36:I36"/>
    <mergeCell ref="J36:R36"/>
    <mergeCell ref="B37:D37"/>
    <mergeCell ref="E37:I37"/>
    <mergeCell ref="J37:R37"/>
    <mergeCell ref="B38:D38"/>
    <mergeCell ref="E38:I38"/>
    <mergeCell ref="J38:R38"/>
    <mergeCell ref="B39:T39"/>
    <mergeCell ref="B40:D40"/>
    <mergeCell ref="E40:I40"/>
    <mergeCell ref="J40:R40"/>
    <mergeCell ref="B41:D41"/>
    <mergeCell ref="E41:I41"/>
    <mergeCell ref="J41:R41"/>
    <mergeCell ref="B42:D42"/>
    <mergeCell ref="E42:I42"/>
    <mergeCell ref="J42:R42"/>
    <mergeCell ref="B43:D43"/>
    <mergeCell ref="E43:I43"/>
    <mergeCell ref="J43:R43"/>
    <mergeCell ref="B44:T44"/>
    <mergeCell ref="B45:I45"/>
    <mergeCell ref="B46:D46"/>
    <mergeCell ref="E46:I46"/>
    <mergeCell ref="B52:D52"/>
    <mergeCell ref="E52:I52"/>
    <mergeCell ref="B53:D53"/>
    <mergeCell ref="E53:I53"/>
    <mergeCell ref="B47:D47"/>
    <mergeCell ref="E47:I47"/>
    <mergeCell ref="B48:D48"/>
    <mergeCell ref="E48:I48"/>
    <mergeCell ref="B49:D49"/>
    <mergeCell ref="E49:I49"/>
    <mergeCell ref="B50:D50"/>
    <mergeCell ref="E50:I50"/>
    <mergeCell ref="B51:D51"/>
    <mergeCell ref="E51:I51"/>
  </mergeCells>
  <pageMargins left="0.7" right="0.7" top="0.75" bottom="0.75" header="0.511811023622047" footer="0.3"/>
  <pageSetup paperSize="8" scale="46" orientation="landscape" horizontalDpi="300" verticalDpi="300"/>
  <headerFooter>
    <oddFooter>&amp;CConfidential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AMJ7"/>
  <sheetViews>
    <sheetView showGridLines="0" zoomScaleNormal="100" workbookViewId="0">
      <pane ySplit="4" topLeftCell="A5" activePane="bottomLeft" state="frozen"/>
      <selection pane="bottomLeft" activeCell="B16" sqref="B16"/>
    </sheetView>
  </sheetViews>
  <sheetFormatPr defaultColWidth="9.109375" defaultRowHeight="14.4"/>
  <cols>
    <col min="1" max="1" width="11.44140625" style="78" customWidth="1"/>
    <col min="2" max="4" width="26" style="78" customWidth="1"/>
    <col min="5" max="5" width="30.6640625" style="79" customWidth="1"/>
    <col min="6" max="6" width="30.6640625" style="80" customWidth="1"/>
    <col min="7" max="7" width="32" style="78" customWidth="1"/>
    <col min="8" max="9" width="15.5546875" style="81" customWidth="1"/>
    <col min="10" max="10" width="15.5546875" style="78" customWidth="1"/>
    <col min="11" max="13" width="25.6640625" style="78" customWidth="1"/>
    <col min="14" max="14" width="28.44140625" style="78" customWidth="1"/>
    <col min="15" max="15" width="28.44140625" style="80" customWidth="1"/>
    <col min="16" max="17" width="38.109375" style="78" customWidth="1"/>
    <col min="18" max="18" width="3" style="78" customWidth="1"/>
    <col min="19" max="19" width="51.44140625" style="78" customWidth="1"/>
    <col min="20" max="20" width="42.109375" style="78" customWidth="1"/>
    <col min="21" max="1024" width="9.109375" style="78"/>
  </cols>
  <sheetData>
    <row r="1" spans="1:34" s="82" customFormat="1" ht="104.25" customHeight="1">
      <c r="A1" s="186" t="s">
        <v>167</v>
      </c>
      <c r="B1" s="186"/>
      <c r="C1" s="186"/>
      <c r="D1" s="186"/>
      <c r="E1" s="186"/>
      <c r="F1" s="186"/>
      <c r="G1" s="186"/>
      <c r="H1" s="186"/>
      <c r="I1" s="186"/>
      <c r="J1" s="186"/>
      <c r="K1" s="186"/>
      <c r="L1" s="186"/>
      <c r="M1" s="186"/>
      <c r="N1" s="186"/>
      <c r="O1" s="186"/>
      <c r="P1" s="186"/>
      <c r="Q1" s="186"/>
      <c r="R1" s="186"/>
      <c r="S1" s="186"/>
      <c r="T1" s="186"/>
    </row>
    <row r="2" spans="1:34" ht="16.5" customHeight="1">
      <c r="A2" s="30"/>
      <c r="B2" s="187" t="s">
        <v>168</v>
      </c>
      <c r="C2" s="187"/>
      <c r="D2" s="187"/>
      <c r="E2" s="188" t="s">
        <v>169</v>
      </c>
      <c r="F2" s="188"/>
      <c r="G2" s="188"/>
      <c r="H2" s="188"/>
      <c r="I2" s="188"/>
      <c r="J2" s="188"/>
      <c r="K2" s="188"/>
      <c r="L2" s="188"/>
      <c r="M2" s="188"/>
      <c r="N2" s="188"/>
      <c r="O2" s="83"/>
      <c r="P2" s="189" t="s">
        <v>170</v>
      </c>
      <c r="Q2" s="189"/>
      <c r="R2" s="32"/>
      <c r="S2" s="84" t="s">
        <v>25</v>
      </c>
      <c r="T2" s="85" t="s">
        <v>26</v>
      </c>
      <c r="U2" s="86"/>
      <c r="X2" s="35"/>
      <c r="Y2" s="35"/>
      <c r="Z2" s="35"/>
      <c r="AA2" s="35"/>
      <c r="AB2" s="35"/>
      <c r="AC2" s="35"/>
      <c r="AD2" s="35"/>
      <c r="AE2" s="35"/>
      <c r="AF2" s="35"/>
      <c r="AG2" s="35"/>
      <c r="AH2" s="35"/>
    </row>
    <row r="3" spans="1:34" ht="87" customHeight="1">
      <c r="A3" s="87" t="s">
        <v>27</v>
      </c>
      <c r="B3" s="88" t="s">
        <v>171</v>
      </c>
      <c r="C3" s="89" t="s">
        <v>172</v>
      </c>
      <c r="D3" s="90" t="s">
        <v>173</v>
      </c>
      <c r="E3" s="88" t="s">
        <v>174</v>
      </c>
      <c r="F3" s="91" t="s">
        <v>175</v>
      </c>
      <c r="G3" s="91" t="s">
        <v>176</v>
      </c>
      <c r="H3" s="91" t="s">
        <v>177</v>
      </c>
      <c r="I3" s="91" t="s">
        <v>178</v>
      </c>
      <c r="J3" s="91" t="s">
        <v>179</v>
      </c>
      <c r="K3" s="92" t="s">
        <v>180</v>
      </c>
      <c r="L3" s="92" t="s">
        <v>181</v>
      </c>
      <c r="M3" s="92" t="s">
        <v>182</v>
      </c>
      <c r="N3" s="37" t="s">
        <v>183</v>
      </c>
      <c r="O3" s="36" t="s">
        <v>184</v>
      </c>
      <c r="P3" s="38" t="s">
        <v>185</v>
      </c>
      <c r="Q3" s="39" t="s">
        <v>186</v>
      </c>
      <c r="R3" s="32"/>
      <c r="S3" s="40" t="s">
        <v>44</v>
      </c>
      <c r="T3" s="40" t="s">
        <v>45</v>
      </c>
      <c r="U3" s="94"/>
      <c r="X3" s="41"/>
      <c r="Y3" s="41"/>
      <c r="Z3" s="41"/>
      <c r="AA3" s="41"/>
      <c r="AB3" s="41"/>
      <c r="AC3" s="41"/>
      <c r="AD3" s="41"/>
      <c r="AE3" s="41"/>
      <c r="AF3" s="41"/>
      <c r="AG3" s="41"/>
      <c r="AH3" s="41"/>
    </row>
    <row r="4" spans="1:34" s="82" customFormat="1" ht="43.5" customHeight="1">
      <c r="A4" s="95">
        <v>1</v>
      </c>
      <c r="B4" s="96" t="s">
        <v>79</v>
      </c>
      <c r="C4" s="96"/>
      <c r="D4" s="96"/>
      <c r="E4" s="97"/>
      <c r="F4" s="96"/>
      <c r="G4" s="96"/>
      <c r="H4" s="98"/>
      <c r="I4" s="98"/>
      <c r="J4" s="98"/>
      <c r="K4" s="99"/>
      <c r="L4" s="99"/>
      <c r="M4" s="99"/>
      <c r="N4" s="99"/>
      <c r="O4" s="99"/>
      <c r="P4" s="96"/>
      <c r="Q4" s="96"/>
    </row>
    <row r="5" spans="1:34" ht="30.6">
      <c r="A5" s="57">
        <v>26</v>
      </c>
      <c r="B5" s="110" t="s">
        <v>187</v>
      </c>
      <c r="C5" s="111" t="s">
        <v>188</v>
      </c>
      <c r="D5" s="111" t="s">
        <v>189</v>
      </c>
      <c r="E5" s="112" t="s">
        <v>190</v>
      </c>
      <c r="F5" s="111" t="s">
        <v>191</v>
      </c>
      <c r="G5" s="111" t="s">
        <v>192</v>
      </c>
      <c r="H5" s="58" t="s">
        <v>54</v>
      </c>
      <c r="I5" s="58" t="s">
        <v>54</v>
      </c>
      <c r="J5" s="58" t="s">
        <v>53</v>
      </c>
      <c r="K5" s="62" t="s">
        <v>193</v>
      </c>
      <c r="L5" s="62" t="s">
        <v>194</v>
      </c>
      <c r="M5" s="62" t="s">
        <v>194</v>
      </c>
      <c r="N5" s="113" t="s">
        <v>195</v>
      </c>
      <c r="O5" s="63" t="s">
        <v>196</v>
      </c>
      <c r="P5" s="114" t="s">
        <v>197</v>
      </c>
      <c r="Q5" s="115" t="s">
        <v>198</v>
      </c>
      <c r="R5" s="54"/>
      <c r="S5" s="66" t="s">
        <v>199</v>
      </c>
      <c r="T5" s="66" t="s">
        <v>200</v>
      </c>
      <c r="W5" s="35"/>
      <c r="X5" s="35"/>
      <c r="Y5" s="35"/>
      <c r="Z5" s="35"/>
      <c r="AA5" s="35"/>
      <c r="AB5" s="35"/>
      <c r="AC5" s="35"/>
      <c r="AD5" s="35"/>
      <c r="AE5" s="35"/>
      <c r="AF5" s="35"/>
      <c r="AG5" s="35"/>
    </row>
    <row r="6" spans="1:34" ht="30.6">
      <c r="A6" s="57">
        <v>28</v>
      </c>
      <c r="B6" s="110" t="s">
        <v>187</v>
      </c>
      <c r="C6" s="111" t="s">
        <v>201</v>
      </c>
      <c r="D6" s="111" t="s">
        <v>189</v>
      </c>
      <c r="E6" s="112" t="s">
        <v>202</v>
      </c>
      <c r="F6" s="111" t="s">
        <v>203</v>
      </c>
      <c r="G6" s="111" t="s">
        <v>192</v>
      </c>
      <c r="H6" s="58" t="s">
        <v>54</v>
      </c>
      <c r="I6" s="58" t="s">
        <v>54</v>
      </c>
      <c r="J6" s="58" t="s">
        <v>53</v>
      </c>
      <c r="K6" s="62" t="s">
        <v>204</v>
      </c>
      <c r="L6" s="62" t="s">
        <v>194</v>
      </c>
      <c r="M6" s="62" t="s">
        <v>194</v>
      </c>
      <c r="N6" s="113" t="s">
        <v>195</v>
      </c>
      <c r="O6" s="63" t="s">
        <v>196</v>
      </c>
      <c r="P6" s="114" t="s">
        <v>197</v>
      </c>
      <c r="Q6" s="115" t="s">
        <v>198</v>
      </c>
      <c r="R6" s="54"/>
      <c r="S6" s="66" t="s">
        <v>199</v>
      </c>
      <c r="T6" s="66" t="s">
        <v>200</v>
      </c>
      <c r="W6" s="35"/>
      <c r="X6" s="35"/>
      <c r="Y6" s="35"/>
      <c r="Z6" s="35"/>
      <c r="AA6" s="35"/>
      <c r="AB6" s="35"/>
      <c r="AC6" s="35"/>
      <c r="AD6" s="35"/>
      <c r="AE6" s="35"/>
      <c r="AF6" s="35"/>
      <c r="AG6" s="35"/>
    </row>
    <row r="7" spans="1:34" ht="30.6">
      <c r="A7" s="57">
        <v>29</v>
      </c>
      <c r="B7" s="110" t="s">
        <v>187</v>
      </c>
      <c r="C7" s="111" t="s">
        <v>205</v>
      </c>
      <c r="D7" s="111" t="s">
        <v>189</v>
      </c>
      <c r="E7" s="112" t="s">
        <v>206</v>
      </c>
      <c r="F7" s="111" t="s">
        <v>203</v>
      </c>
      <c r="G7" s="111" t="s">
        <v>192</v>
      </c>
      <c r="H7" s="58" t="s">
        <v>54</v>
      </c>
      <c r="I7" s="58" t="s">
        <v>54</v>
      </c>
      <c r="J7" s="58" t="s">
        <v>53</v>
      </c>
      <c r="K7" s="62" t="s">
        <v>204</v>
      </c>
      <c r="L7" s="62" t="s">
        <v>194</v>
      </c>
      <c r="M7" s="62" t="s">
        <v>194</v>
      </c>
      <c r="N7" s="113" t="s">
        <v>195</v>
      </c>
      <c r="O7" s="63" t="s">
        <v>196</v>
      </c>
      <c r="P7" s="114" t="s">
        <v>197</v>
      </c>
      <c r="Q7" s="115" t="s">
        <v>198</v>
      </c>
      <c r="R7" s="54"/>
      <c r="S7" s="66" t="s">
        <v>199</v>
      </c>
      <c r="T7" s="66" t="s">
        <v>200</v>
      </c>
      <c r="W7" s="35"/>
      <c r="X7" s="35"/>
      <c r="Y7" s="35"/>
      <c r="Z7" s="35"/>
      <c r="AA7" s="35"/>
      <c r="AB7" s="35"/>
      <c r="AC7" s="35"/>
      <c r="AD7" s="35"/>
      <c r="AE7" s="35"/>
      <c r="AF7" s="35"/>
      <c r="AG7" s="35"/>
    </row>
  </sheetData>
  <mergeCells count="4">
    <mergeCell ref="A1:T1"/>
    <mergeCell ref="B2:D2"/>
    <mergeCell ref="E2:N2"/>
    <mergeCell ref="P2:Q2"/>
  </mergeCells>
  <dataValidations count="3">
    <dataValidation type="list" allowBlank="1" showInputMessage="1" showErrorMessage="1" sqref="L5:M7" xr:uid="{00000000-0002-0000-0400-000000000000}">
      <formula1>"High,Medium,Low"</formula1>
      <formula2>0</formula2>
    </dataValidation>
    <dataValidation type="list" allowBlank="1" showInputMessage="1" showErrorMessage="1" sqref="H5:J7" xr:uid="{00000000-0002-0000-0400-000001000000}">
      <formula1>"Y,N"</formula1>
      <formula2>0</formula2>
    </dataValidation>
    <dataValidation type="list" allowBlank="1" showInputMessage="1" showErrorMessage="1" sqref="K5:K7" xr:uid="{00000000-0002-0000-0400-000002000000}">
      <formula1>"Strictly Confidential,Confidential,Business use only,Public"</formula1>
      <formula2>0</formula2>
    </dataValidation>
  </dataValidations>
  <pageMargins left="0.74791666666666701" right="0.74791666666666701" top="0.98402777777777795" bottom="0.74791666666666701" header="0.511811023622047" footer="0.51180555555555596"/>
  <pageSetup orientation="landscape" horizontalDpi="300" verticalDpi="300"/>
  <headerFooter>
    <oddFooter>&amp;L&amp;D&amp;CConfidential&amp;R&amp;A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097" r:id="rId3" name="shape_0">
              <controlPr defaultSize="0" autoPict="0">
                <anchor moveWithCells="1" sizeWithCells="1">
                  <from>
                    <xdr:col>0</xdr:col>
                    <xdr:colOff>7620</xdr:colOff>
                    <xdr:row>3</xdr:row>
                    <xdr:rowOff>7620</xdr:rowOff>
                  </from>
                  <to>
                    <xdr:col>1</xdr:col>
                    <xdr:colOff>845820</xdr:colOff>
                    <xdr:row>4</xdr:row>
                    <xdr:rowOff>167640</xdr:rowOff>
                  </to>
                </anchor>
              </controlPr>
            </control>
          </mc:Choice>
        </mc:AlternateContent>
        <mc:AlternateContent xmlns:mc="http://schemas.openxmlformats.org/markup-compatibility/2006">
          <mc:Choice Requires="x14">
            <control shapeId="4098" r:id="rId4" name="Summary_Button">
              <controlPr defaultSize="0" autoFill="0" autoPict="0" altText="Generate Gap Analysis">
                <anchor moveWithCells="1">
                  <from>
                    <xdr:col>0</xdr:col>
                    <xdr:colOff>7620</xdr:colOff>
                    <xdr:row>3</xdr:row>
                    <xdr:rowOff>7620</xdr:rowOff>
                  </from>
                  <to>
                    <xdr:col>1</xdr:col>
                    <xdr:colOff>1059180</xdr:colOff>
                    <xdr:row>4</xdr:row>
                    <xdr:rowOff>213360</xdr:rowOff>
                  </to>
                </anchor>
              </controlPr>
            </control>
          </mc:Choice>
        </mc:AlternateContent>
        <mc:AlternateContent xmlns:mc="http://schemas.openxmlformats.org/markup-compatibility/2006">
          <mc:Choice Requires="x14">
            <control shapeId="4099" r:id="rId5" name="Button 3">
              <controlPr defaultSize="0" autoFill="0" autoPict="0" altText="Generate Gap Analysis">
                <anchor moveWithCells="1">
                  <from>
                    <xdr:col>0</xdr:col>
                    <xdr:colOff>7620</xdr:colOff>
                    <xdr:row>3</xdr:row>
                    <xdr:rowOff>7620</xdr:rowOff>
                  </from>
                  <to>
                    <xdr:col>1</xdr:col>
                    <xdr:colOff>1059180</xdr:colOff>
                    <xdr:row>4</xdr:row>
                    <xdr:rowOff>-213360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J16"/>
  <sheetViews>
    <sheetView showGridLines="0" zoomScale="160" zoomScaleNormal="160" zoomScalePageLayoutView="160" workbookViewId="0">
      <selection activeCell="H1" sqref="H1"/>
    </sheetView>
  </sheetViews>
  <sheetFormatPr defaultColWidth="9.109375" defaultRowHeight="14.4" zeroHeight="1"/>
  <cols>
    <col min="1" max="1" width="38.109375" style="116" customWidth="1"/>
    <col min="2" max="3" width="6.109375" style="116" customWidth="1"/>
    <col min="4" max="4" width="10.5546875" style="116" customWidth="1"/>
    <col min="5" max="5" width="10.6640625" style="116" customWidth="1"/>
    <col min="6" max="6" width="10.5546875" style="116" customWidth="1"/>
    <col min="7" max="7" width="16.6640625" style="116" customWidth="1"/>
    <col min="8" max="8" width="2.6640625" style="116" customWidth="1"/>
    <col min="9" max="1024" width="9.109375" style="116" hidden="1"/>
  </cols>
  <sheetData>
    <row r="1" spans="1:7" s="118" customFormat="1" ht="34.5" customHeight="1">
      <c r="A1" s="117" t="s">
        <v>207</v>
      </c>
    </row>
    <row r="2" spans="1:7" s="120" customFormat="1" ht="5.25" customHeight="1">
      <c r="A2" s="119"/>
    </row>
    <row r="3" spans="1:7">
      <c r="A3" s="121" t="s">
        <v>208</v>
      </c>
      <c r="B3" s="122"/>
    </row>
    <row r="4" spans="1:7">
      <c r="A4" s="123" t="s">
        <v>209</v>
      </c>
      <c r="B4" s="124" t="s">
        <v>210</v>
      </c>
    </row>
    <row r="5" spans="1:7">
      <c r="A5" s="125" t="s">
        <v>211</v>
      </c>
      <c r="B5" s="126" t="e">
        <f>COUNTIF(InventárioAtivosInformação!#REF!,"Strictly Confidential")</f>
        <v>#REF!</v>
      </c>
    </row>
    <row r="6" spans="1:7">
      <c r="A6" s="127" t="s">
        <v>193</v>
      </c>
      <c r="B6" s="128" t="e">
        <f>COUNTIF(InventárioAtivosInformação!#REF!,"Confidential")</f>
        <v>#REF!</v>
      </c>
    </row>
    <row r="7" spans="1:7">
      <c r="A7" s="129" t="s">
        <v>212</v>
      </c>
      <c r="B7" s="128" t="e">
        <f>COUNTIF(InventárioAtivosInformação!#REF!,"Business use only")</f>
        <v>#REF!</v>
      </c>
    </row>
    <row r="8" spans="1:7">
      <c r="A8" s="130" t="s">
        <v>213</v>
      </c>
      <c r="B8" s="131" t="e">
        <f>COUNTIF(InventárioAtivosInformação!#REF!,"Public")</f>
        <v>#REF!</v>
      </c>
    </row>
    <row r="9" spans="1:7"/>
    <row r="10" spans="1:7">
      <c r="A10" s="121" t="s">
        <v>214</v>
      </c>
      <c r="E10" s="132"/>
      <c r="F10" s="133"/>
    </row>
    <row r="11" spans="1:7" ht="12.75" customHeight="1">
      <c r="A11" s="249" t="s">
        <v>215</v>
      </c>
      <c r="B11" s="249"/>
      <c r="C11" s="249"/>
      <c r="D11" s="249"/>
      <c r="E11" s="249"/>
      <c r="F11" s="249"/>
      <c r="G11" s="249"/>
    </row>
    <row r="12" spans="1:7" ht="12.75" customHeight="1">
      <c r="A12" s="249"/>
      <c r="B12" s="249"/>
      <c r="C12" s="249"/>
      <c r="D12" s="249"/>
      <c r="E12" s="249"/>
      <c r="F12" s="249"/>
      <c r="G12" s="249"/>
    </row>
    <row r="13" spans="1:7">
      <c r="A13" s="249"/>
      <c r="B13" s="249"/>
      <c r="C13" s="249"/>
      <c r="D13" s="249"/>
      <c r="E13" s="249"/>
      <c r="F13" s="249"/>
      <c r="G13" s="249"/>
    </row>
    <row r="14" spans="1:7">
      <c r="A14" s="249"/>
      <c r="B14" s="249"/>
      <c r="C14" s="249"/>
      <c r="D14" s="249"/>
      <c r="E14" s="249"/>
      <c r="F14" s="249"/>
      <c r="G14" s="249"/>
    </row>
    <row r="15" spans="1:7" ht="12.75" customHeight="1">
      <c r="A15" s="249"/>
      <c r="B15" s="249"/>
      <c r="C15" s="249"/>
      <c r="D15" s="249"/>
      <c r="E15" s="249"/>
      <c r="F15" s="249"/>
      <c r="G15" s="249"/>
    </row>
    <row r="16" spans="1:7"/>
  </sheetData>
  <sheetProtection sheet="1" objects="1" scenarios="1"/>
  <mergeCells count="5">
    <mergeCell ref="A11:G11"/>
    <mergeCell ref="A12:G12"/>
    <mergeCell ref="A13:G13"/>
    <mergeCell ref="A14:G14"/>
    <mergeCell ref="A15:G15"/>
  </mergeCells>
  <conditionalFormatting sqref="A5:A8">
    <cfRule type="cellIs" dxfId="1" priority="2" operator="greaterThan">
      <formula>0</formula>
    </cfRule>
    <cfRule type="cellIs" dxfId="0" priority="3" operator="equal">
      <formula>0</formula>
    </cfRule>
  </conditionalFormatting>
  <pageMargins left="0.75" right="0.75" top="1" bottom="1" header="0.511811023622047" footer="0.5"/>
  <pageSetup paperSize="9" orientation="landscape" horizontalDpi="300" verticalDpi="300"/>
  <headerFooter>
    <oddFooter>&amp;CConfidential</oddFooter>
  </headerFooter>
</worksheet>
</file>

<file path=docProps/app.xml><?xml version="1.0" encoding="utf-8"?>
<Properties xmlns="http://schemas.openxmlformats.org/officeDocument/2006/extended-properties" xmlns:vt="http://schemas.openxmlformats.org/officeDocument/2006/docPropsVTypes">
  <Template/>
  <TotalTime>4</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3</vt:i4>
      </vt:variant>
    </vt:vector>
  </HeadingPairs>
  <TitlesOfParts>
    <vt:vector size="9" baseType="lpstr">
      <vt:lpstr>Visão Geral</vt:lpstr>
      <vt:lpstr>InventárioAtivosInformação</vt:lpstr>
      <vt:lpstr>Análise de Gap</vt:lpstr>
      <vt:lpstr>Diretrizes</vt:lpstr>
      <vt:lpstr>GAP Analysis 2011</vt:lpstr>
      <vt:lpstr>MgmtSummary</vt:lpstr>
      <vt:lpstr>Diretrizes!Area_de_impressao</vt:lpstr>
      <vt:lpstr>MgmtSummary!Area_de_impressao</vt:lpstr>
      <vt:lpstr>MgmtSummary!Titulos_de_impressao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Information Asset Inventory</dc:title>
  <dc:subject>Information Security</dc:subject>
  <dc:creator>Steve McColl</dc:creator>
  <cp:keywords>ISO27k asset inventory ISMS</cp:keywords>
  <dc:description>Copyright © 2008 ISO27k Forum.  Covered by a Creative Commons license</dc:description>
  <cp:lastModifiedBy>Vitor Melo</cp:lastModifiedBy>
  <cp:revision>6</cp:revision>
  <dcterms:created xsi:type="dcterms:W3CDTF">2008-06-01T20:58:21Z</dcterms:created>
  <dcterms:modified xsi:type="dcterms:W3CDTF">2023-08-12T14:30:38Z</dcterms:modified>
  <cp:category>Assets</cp:category>
  <dc:language>pt-BR</dc:language>
</cp:coreProperties>
</file>